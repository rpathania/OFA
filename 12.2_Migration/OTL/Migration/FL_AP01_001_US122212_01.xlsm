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rpathania\Desktop\Monthly Work\OFA\12.2_Migration\OTL\Migration\"/>
    </mc:Choice>
  </mc:AlternateContent>
  <bookViews>
    <workbookView xWindow="0" yWindow="0" windowWidth="20490" windowHeight="7020" activeTab="3"/>
  </bookViews>
  <sheets>
    <sheet name="Cemli" sheetId="1" r:id="rId1"/>
    <sheet name="Manual Steps" sheetId="2" r:id="rId2"/>
    <sheet name="FAQ" sheetId="3" r:id="rId3"/>
    <sheet name="Param" sheetId="4" r:id="rId4"/>
  </sheets>
  <definedNames>
    <definedName name="description">Param!$E$3:$E$34</definedName>
    <definedName name="status">Param!$B$4:$B$6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9" i="1" l="1"/>
  <c r="F19" i="1"/>
  <c r="F20" i="4" l="1"/>
  <c r="G28" i="1" l="1"/>
  <c r="F28" i="1"/>
  <c r="G27" i="1"/>
  <c r="F27" i="1"/>
  <c r="G26" i="1"/>
  <c r="F26" i="1"/>
  <c r="G25" i="1"/>
  <c r="F25" i="1"/>
  <c r="G24" i="1"/>
  <c r="F24" i="1"/>
  <c r="G23" i="1"/>
  <c r="F23" i="1"/>
  <c r="G22" i="1"/>
  <c r="F22" i="1"/>
  <c r="G21" i="1"/>
  <c r="F21" i="1"/>
  <c r="G20" i="1"/>
  <c r="F20" i="1"/>
</calcChain>
</file>

<file path=xl/sharedStrings.xml><?xml version="1.0" encoding="utf-8"?>
<sst xmlns="http://schemas.openxmlformats.org/spreadsheetml/2006/main" count="387" uniqueCount="290">
  <si>
    <t>DELIVERY DOCUMENT</t>
  </si>
  <si>
    <t xml:space="preserve"> Application</t>
  </si>
  <si>
    <t xml:space="preserve"> Version</t>
  </si>
  <si>
    <t>OFA or IM Reference</t>
  </si>
  <si>
    <t>Change Desription</t>
  </si>
  <si>
    <t>Report / Folder / Program Name</t>
  </si>
  <si>
    <t>Patch Number (ACE)</t>
  </si>
  <si>
    <t>DELIVERY DATE</t>
  </si>
  <si>
    <t>INSTANCE</t>
  </si>
  <si>
    <t>DEVE</t>
  </si>
  <si>
    <t>INTEGRATION</t>
  </si>
  <si>
    <t>UAT</t>
  </si>
  <si>
    <t>Production</t>
  </si>
  <si>
    <t>VERSION</t>
  </si>
  <si>
    <t xml:space="preserve">Proposed delivery date </t>
  </si>
  <si>
    <t>Visa Application owner</t>
  </si>
  <si>
    <t>Delivery date</t>
  </si>
  <si>
    <t xml:space="preserve"> Visa Delivery owner</t>
  </si>
  <si>
    <r>
      <t xml:space="preserve">List of component to be delivered </t>
    </r>
    <r>
      <rPr>
        <sz val="10"/>
        <color theme="0"/>
        <rFont val="Tahoma"/>
        <family val="2"/>
      </rPr>
      <t>(component name suffix, Header version and object description are the most important information to automatically generate the patch driver execution file)</t>
    </r>
  </si>
  <si>
    <t>Sequence</t>
  </si>
  <si>
    <t>component name</t>
  </si>
  <si>
    <t>Header Version</t>
  </si>
  <si>
    <t>Object Description</t>
  </si>
  <si>
    <t>Object Type</t>
  </si>
  <si>
    <t>Header Format</t>
  </si>
  <si>
    <t xml:space="preserve">GIT Location </t>
  </si>
  <si>
    <t>Status</t>
  </si>
  <si>
    <t xml:space="preserve">GIT Revision </t>
  </si>
  <si>
    <t>FNDLOAD Data File</t>
  </si>
  <si>
    <t>XML Publisher RTF file</t>
  </si>
  <si>
    <t>Reports Source and Runtime</t>
  </si>
  <si>
    <t>Additionnals comments / prerequisite</t>
  </si>
  <si>
    <t>Help summary</t>
  </si>
  <si>
    <t># Component File Header Format</t>
  </si>
  <si>
    <t># Object Types That Do Not Require a Header</t>
  </si>
  <si>
    <t># Object Types That Support NLS Languages</t>
  </si>
  <si>
    <t># Object Type description</t>
  </si>
  <si>
    <t>FAQ summary</t>
  </si>
  <si>
    <t>How ACE will decide the order and sequencing of CEMLI deployment?</t>
  </si>
  <si>
    <t>How do I avoid patch failure while dropping an object which does not exist?</t>
  </si>
  <si>
    <t>Can I upload a file without header?</t>
  </si>
  <si>
    <t xml:space="preserve">Is the header required for binary files? </t>
  </si>
  <si>
    <r>
      <t xml:space="preserve">How do I add or modify the header for </t>
    </r>
    <r>
      <rPr>
        <i/>
        <u/>
        <sz val="10"/>
        <rFont val="Arial"/>
        <family val="2"/>
      </rPr>
      <t>.fmb</t>
    </r>
    <r>
      <rPr>
        <u/>
        <sz val="10"/>
        <rFont val="Arial"/>
        <family val="2"/>
      </rPr>
      <t xml:space="preserve"> and </t>
    </r>
    <r>
      <rPr>
        <i/>
        <u/>
        <sz val="10"/>
        <rFont val="Arial"/>
        <family val="2"/>
      </rPr>
      <t>.rdf</t>
    </r>
    <r>
      <rPr>
        <u/>
        <sz val="10"/>
        <rFont val="Arial"/>
        <family val="2"/>
      </rPr>
      <t xml:space="preserve"> files?</t>
    </r>
  </si>
  <si>
    <t>If custom code contains any special characters, is it possible to execute it via ACE?</t>
  </si>
  <si>
    <t>Can I use different "Object Type" for same file?</t>
  </si>
  <si>
    <r>
      <t xml:space="preserve">Can I create </t>
    </r>
    <r>
      <rPr>
        <i/>
        <u/>
        <sz val="10"/>
        <rFont val="Arial"/>
        <family val="2"/>
      </rPr>
      <t>.pks</t>
    </r>
    <r>
      <rPr>
        <u/>
        <sz val="10"/>
        <rFont val="Arial"/>
        <family val="2"/>
      </rPr>
      <t xml:space="preserve">, </t>
    </r>
    <r>
      <rPr>
        <i/>
        <u/>
        <sz val="10"/>
        <rFont val="Arial"/>
        <family val="2"/>
      </rPr>
      <t>.pkb</t>
    </r>
    <r>
      <rPr>
        <u/>
        <sz val="10"/>
        <rFont val="Arial"/>
        <family val="2"/>
      </rPr>
      <t xml:space="preserve"> files with user prompt for an input?</t>
    </r>
  </si>
  <si>
    <t>$Header &lt;file name&gt; &lt;version&gt; &lt;date&gt; &lt;coder name&gt; $</t>
  </si>
  <si>
    <t>where:</t>
  </si>
  <si>
    <t>■&lt;file name&gt; is the CEMLI file name.</t>
  </si>
  <si>
    <t>■&lt;version&gt; is the CEMLI file version number.</t>
  </si>
  <si>
    <t>■&lt;date&gt; is the date on which the CEMLI file was last changed, in one of the following formats - MM/DD/YYYY or YYYY/MM/DD, where MM is the month, DD is the day, and YYYY is the year.</t>
  </si>
  <si>
    <t>■&lt;developer name&gt; is the name of the CEMLI file developer, with no spaces or blank characters.</t>
  </si>
  <si>
    <t>For example:</t>
  </si>
  <si>
    <t>$Header XXAKDAPREG.fmb 115.3 2006/05/08 15:46 matery $</t>
  </si>
  <si>
    <t>When including the header in SQL scripts, shell scripts, and other text files, use REM, # or similar comment syntax, for example:</t>
  </si>
  <si>
    <t>REM %Header XXGERTTLS.sql 115.23.2 07/14/2008 joe Exp $</t>
  </si>
  <si>
    <t># $Header: XXREP.ldt 115.30 2009/08/24 13:32:38 mondev $</t>
  </si>
  <si>
    <t>If your CEMLI file is a form, which has the extension .fmb, include the header using the FDRCSID function call in the When-New-Form-Instance Trigger.</t>
  </si>
  <si>
    <t>If the file is a library, with extension .pll, include the header when using the FDRCSID function call in a program unit. For example:</t>
  </si>
  <si>
    <t>FDRCSID(’$Header: XXPPSND.fmb 120.6.120.3 2008/08/01 09:42 joe ship$’)</t>
  </si>
  <si>
    <t>For reports, with extension .rdf, include the header in the comment field property of the report module.</t>
  </si>
  <si>
    <t>BMP Bitmap image</t>
  </si>
  <si>
    <t>JPG JPEG image</t>
  </si>
  <si>
    <t>XLS Microsoft Excel file</t>
  </si>
  <si>
    <t>EEX Discoverer file</t>
  </si>
  <si>
    <t>FMX forms compiled</t>
  </si>
  <si>
    <t>LDT FNSDLOAD data file</t>
  </si>
  <si>
    <t>RDF reports source runtime</t>
  </si>
  <si>
    <t>WFT workflow data file</t>
  </si>
  <si>
    <t>XMLP_RTF Xml publisher RTF file</t>
  </si>
  <si>
    <t>Custom Index</t>
  </si>
  <si>
    <t>idx</t>
  </si>
  <si>
    <t>Index on custom table</t>
  </si>
  <si>
    <t>alternative method</t>
  </si>
  <si>
    <t>Custom Package Body</t>
  </si>
  <si>
    <t>pkb</t>
  </si>
  <si>
    <t>Package body to be installed in custom schema</t>
  </si>
  <si>
    <t>Include in Custom Table script</t>
  </si>
  <si>
    <t>Custom Package Spec</t>
  </si>
  <si>
    <t>pks</t>
  </si>
  <si>
    <t>Package spec to be installed in custom schema. Include DDL for grants to APPS schema.</t>
  </si>
  <si>
    <t>Include in Package Spec script</t>
  </si>
  <si>
    <t>Custom Sequence</t>
  </si>
  <si>
    <t>seq</t>
  </si>
  <si>
    <t>Custom sequence</t>
  </si>
  <si>
    <t>Not applicable</t>
  </si>
  <si>
    <t>Custom SQL File Copy and Execute</t>
  </si>
  <si>
    <t>sql</t>
  </si>
  <si>
    <t>Any valid SQL script including DDL, can be used to produce spool output</t>
  </si>
  <si>
    <t>Custom Table</t>
  </si>
  <si>
    <t>tbl</t>
  </si>
  <si>
    <t>Custom table, include DDL for grants to APPS schema</t>
  </si>
  <si>
    <t>Custom Trigger</t>
  </si>
  <si>
    <t>trg</t>
  </si>
  <si>
    <t>Custom trigger</t>
  </si>
  <si>
    <t>Custom View</t>
  </si>
  <si>
    <t>vw</t>
  </si>
  <si>
    <t>View to be created in custom schema, include DDL for grants to APPS schema</t>
  </si>
  <si>
    <t>Custom table script</t>
  </si>
  <si>
    <t>APPS Package Body</t>
  </si>
  <si>
    <t>Custom package body to be installed in APPS schema</t>
  </si>
  <si>
    <t>APPS Package Spec</t>
  </si>
  <si>
    <t>Custom package spec to be installed in APPS schema</t>
  </si>
  <si>
    <t>Include in APPS Package Spec script</t>
  </si>
  <si>
    <t>APPS SQL File Copy and Execute</t>
  </si>
  <si>
    <t>APPS Synonym</t>
  </si>
  <si>
    <t>syn</t>
  </si>
  <si>
    <t>Create synonyms for custom objects</t>
  </si>
  <si>
    <t>APPS View</t>
  </si>
  <si>
    <t>Custom views to be created in APPS Schema</t>
  </si>
  <si>
    <t>SQL File Copy Only</t>
  </si>
  <si>
    <t>SQL file copied to CUSTOM_TOP</t>
  </si>
  <si>
    <t>APPS Schema</t>
  </si>
  <si>
    <t>Loader Control File</t>
  </si>
  <si>
    <t>ctl</t>
  </si>
  <si>
    <t>SQL Loader control file</t>
  </si>
  <si>
    <t>ldt</t>
  </si>
  <si>
    <t>FND Loader data file</t>
  </si>
  <si>
    <t>Compiled Forms</t>
  </si>
  <si>
    <t>fmx</t>
  </si>
  <si>
    <t>Custom form, compiled</t>
  </si>
  <si>
    <t>Forms &amp;reports Library Source and Runtime</t>
  </si>
  <si>
    <t>pll</t>
  </si>
  <si>
    <t>Custom library attached to forms &amp;reports</t>
  </si>
  <si>
    <t>rdf</t>
  </si>
  <si>
    <t>Custom report</t>
  </si>
  <si>
    <t>Discoverer File</t>
  </si>
  <si>
    <t>eex</t>
  </si>
  <si>
    <t>Oracle Discoverer</t>
  </si>
  <si>
    <t>Bitmap Image</t>
  </si>
  <si>
    <t>bmp</t>
  </si>
  <si>
    <t>Bitmap image file</t>
  </si>
  <si>
    <t>JPEG image</t>
  </si>
  <si>
    <t>jpg</t>
  </si>
  <si>
    <t>JPEG file</t>
  </si>
  <si>
    <t>Java File</t>
  </si>
  <si>
    <t>java</t>
  </si>
  <si>
    <t>Java file</t>
  </si>
  <si>
    <t>Java Server Page</t>
  </si>
  <si>
    <t>jsp</t>
  </si>
  <si>
    <t>Java Server Page file</t>
  </si>
  <si>
    <t>Workflow Data File</t>
  </si>
  <si>
    <t>wft</t>
  </si>
  <si>
    <t>Workflow file</t>
  </si>
  <si>
    <t>Excel File</t>
  </si>
  <si>
    <t>xls</t>
  </si>
  <si>
    <t>Microsoft Excel file</t>
  </si>
  <si>
    <t>XML File</t>
  </si>
  <si>
    <t>xml</t>
  </si>
  <si>
    <t>File in extensible markup language (.xml) format</t>
  </si>
  <si>
    <t>XML Publisher data template</t>
  </si>
  <si>
    <t>xmlp_dt</t>
  </si>
  <si>
    <t>XML Publisher RTF File</t>
  </si>
  <si>
    <t>xmlp_rtf</t>
  </si>
  <si>
    <t>XML XLF File</t>
  </si>
  <si>
    <t>xmlp_xlf</t>
  </si>
  <si>
    <t>XML Publisher XLF file</t>
  </si>
  <si>
    <t>When you are uploading the files you need to select the object type appropriately, based on your object type selection, execution order will be decided by adpatch.</t>
  </si>
  <si>
    <t xml:space="preserve">The order of execution depends on the type of file. </t>
  </si>
  <si>
    <t>ADPATCH automatically decides on the order based on the following precedence of DDL files</t>
  </si>
  <si>
    <t>SEQUENCES</t>
  </si>
  <si>
    <t xml:space="preserve">TABLES  </t>
  </si>
  <si>
    <t xml:space="preserve">VIEW </t>
  </si>
  <si>
    <t xml:space="preserve">CODE PACKAGE/PROCEDURE/FUNCTION </t>
  </si>
  <si>
    <t>SYNONYM</t>
  </si>
  <si>
    <t xml:space="preserve">NOTE: If you have specific scenarios, where standard order is not working, those cases you can build multiple patches and deploy in specific order  </t>
  </si>
  <si>
    <t>Developers should write their code in such a way so that it can capture an error exception, and, based on a condition, it should proceed further.</t>
  </si>
  <si>
    <r>
      <t xml:space="preserve">Example: If the </t>
    </r>
    <r>
      <rPr>
        <i/>
        <sz val="10"/>
        <rFont val="Arial"/>
        <family val="2"/>
      </rPr>
      <t>.sql</t>
    </r>
    <r>
      <rPr>
        <sz val="10"/>
        <rFont val="Arial"/>
        <family val="2"/>
      </rPr>
      <t xml:space="preserve"> file has commands to drop and create multiple objects in those scenarios, the </t>
    </r>
    <r>
      <rPr>
        <i/>
        <sz val="10"/>
        <rFont val="Arial"/>
        <family val="2"/>
      </rPr>
      <t>.sql</t>
    </r>
    <r>
      <rPr>
        <sz val="10"/>
        <rFont val="Arial"/>
        <family val="2"/>
      </rPr>
      <t xml:space="preserve"> file will fail because the object does not exists.</t>
    </r>
  </si>
  <si>
    <t>"DROP PACKAGE BODY APPS.PLCN_EDI_OUTBOUND</t>
  </si>
  <si>
    <t>*ERROR at line 1:</t>
  </si>
  <si>
    <t>ORA-04043: object PLCN_EDI_OUTBOUND does not exist"</t>
  </si>
  <si>
    <r>
      <t xml:space="preserve">Except for image files, such as </t>
    </r>
    <r>
      <rPr>
        <i/>
        <sz val="10"/>
        <rFont val="Arial"/>
        <family val="2"/>
      </rPr>
      <t>.jpg</t>
    </r>
    <r>
      <rPr>
        <sz val="10"/>
        <rFont val="Arial"/>
        <family val="2"/>
      </rPr>
      <t xml:space="preserve">, </t>
    </r>
    <r>
      <rPr>
        <i/>
        <sz val="10"/>
        <rFont val="Arial"/>
        <family val="2"/>
      </rPr>
      <t>.jpeg</t>
    </r>
    <r>
      <rPr>
        <sz val="10"/>
        <rFont val="Arial"/>
        <family val="2"/>
      </rPr>
      <t xml:space="preserve">, </t>
    </r>
    <r>
      <rPr>
        <i/>
        <sz val="10"/>
        <rFont val="Arial"/>
        <family val="2"/>
      </rPr>
      <t>.png,</t>
    </r>
    <r>
      <rPr>
        <sz val="10"/>
        <rFont val="Arial"/>
        <family val="2"/>
      </rPr>
      <t xml:space="preserve"> etc., all files require a header. Header information should be added to each file before a CEMLI patch can be created. ACE adds the header to ASCII files using its Allow Auto Header feature, while manual headers should be added to binary files. Only files with higher header version can be copied by Adpatch to replace the existing file.</t>
    </r>
  </si>
  <si>
    <r>
      <t xml:space="preserve">Yes. While developing binary objects, such as </t>
    </r>
    <r>
      <rPr>
        <i/>
        <sz val="10"/>
        <rFont val="Arial"/>
        <family val="2"/>
      </rPr>
      <t>.fmb</t>
    </r>
    <r>
      <rPr>
        <sz val="10"/>
        <rFont val="Arial"/>
        <family val="2"/>
      </rPr>
      <t xml:space="preserve">, </t>
    </r>
    <r>
      <rPr>
        <i/>
        <sz val="10"/>
        <rFont val="Arial"/>
        <family val="2"/>
      </rPr>
      <t>.rdf</t>
    </r>
    <r>
      <rPr>
        <sz val="10"/>
        <rFont val="Arial"/>
        <family val="2"/>
      </rPr>
      <t xml:space="preserve">, </t>
    </r>
    <r>
      <rPr>
        <i/>
        <sz val="10"/>
        <rFont val="Arial"/>
        <family val="2"/>
      </rPr>
      <t>.rtf</t>
    </r>
    <r>
      <rPr>
        <sz val="10"/>
        <rFont val="Arial"/>
        <family val="2"/>
      </rPr>
      <t>, etc., add a header using the appropriate development tool. See the header types mentioned in the above attachment (</t>
    </r>
    <r>
      <rPr>
        <i/>
        <sz val="10"/>
        <rFont val="Arial"/>
        <family val="2"/>
      </rPr>
      <t>Object_Type.xls</t>
    </r>
    <r>
      <rPr>
        <sz val="10"/>
        <rFont val="Arial"/>
        <family val="2"/>
      </rPr>
      <t>).</t>
    </r>
  </si>
  <si>
    <r>
      <t xml:space="preserve">How do I add or modify the header for </t>
    </r>
    <r>
      <rPr>
        <b/>
        <i/>
        <u/>
        <sz val="10"/>
        <rFont val="Arial"/>
        <family val="2"/>
      </rPr>
      <t>.fmb</t>
    </r>
    <r>
      <rPr>
        <b/>
        <u/>
        <sz val="10"/>
        <rFont val="Arial"/>
        <family val="2"/>
      </rPr>
      <t xml:space="preserve"> and </t>
    </r>
    <r>
      <rPr>
        <b/>
        <i/>
        <u/>
        <sz val="10"/>
        <rFont val="Arial"/>
        <family val="2"/>
      </rPr>
      <t>.rdf</t>
    </r>
    <r>
      <rPr>
        <b/>
        <u/>
        <sz val="10"/>
        <rFont val="Arial"/>
        <family val="2"/>
      </rPr>
      <t xml:space="preserve"> files?</t>
    </r>
  </si>
  <si>
    <r>
      <t xml:space="preserve">Open your </t>
    </r>
    <r>
      <rPr>
        <i/>
        <sz val="10"/>
        <rFont val="Arial"/>
        <family val="2"/>
      </rPr>
      <t>.fmb</t>
    </r>
    <r>
      <rPr>
        <sz val="10"/>
        <rFont val="Arial"/>
        <family val="2"/>
      </rPr>
      <t xml:space="preserve"> or </t>
    </r>
    <r>
      <rPr>
        <i/>
        <sz val="10"/>
        <rFont val="Arial"/>
        <family val="2"/>
      </rPr>
      <t>.rdf</t>
    </r>
    <r>
      <rPr>
        <sz val="10"/>
        <rFont val="Arial"/>
        <family val="2"/>
      </rPr>
      <t xml:space="preserve"> code using Developer Suite Forms and Reports. Follow the below procedure to add or modify the header for </t>
    </r>
    <r>
      <rPr>
        <i/>
        <sz val="10"/>
        <rFont val="Arial"/>
        <family val="2"/>
      </rPr>
      <t>.fmb</t>
    </r>
    <r>
      <rPr>
        <sz val="10"/>
        <rFont val="Arial"/>
        <family val="2"/>
      </rPr>
      <t xml:space="preserve"> and </t>
    </r>
    <r>
      <rPr>
        <i/>
        <sz val="10"/>
        <rFont val="Arial"/>
        <family val="2"/>
      </rPr>
      <t>.rdf</t>
    </r>
    <r>
      <rPr>
        <sz val="10"/>
        <rFont val="Arial"/>
        <family val="2"/>
      </rPr>
      <t>.</t>
    </r>
  </si>
  <si>
    <r>
      <t>a.</t>
    </r>
    <r>
      <rPr>
        <sz val="7"/>
        <rFont val="Times New Roman"/>
        <family val="1"/>
      </rPr>
      <t xml:space="preserve">     </t>
    </r>
    <r>
      <rPr>
        <sz val="10"/>
        <rFont val="Arial"/>
        <family val="2"/>
      </rPr>
      <t>.fmb</t>
    </r>
  </si>
  <si>
    <r>
      <t>1.</t>
    </r>
    <r>
      <rPr>
        <sz val="7"/>
        <rFont val="Times New Roman"/>
        <family val="1"/>
      </rPr>
      <t xml:space="preserve">     </t>
    </r>
    <r>
      <rPr>
        <sz val="10"/>
        <rFont val="Arial"/>
        <family val="2"/>
      </rPr>
      <t xml:space="preserve">Open your </t>
    </r>
    <r>
      <rPr>
        <i/>
        <sz val="10"/>
        <rFont val="Arial"/>
        <family val="2"/>
      </rPr>
      <t>.fmb</t>
    </r>
    <r>
      <rPr>
        <sz val="10"/>
        <rFont val="Arial"/>
        <family val="2"/>
      </rPr>
      <t xml:space="preserve"> file.</t>
    </r>
  </si>
  <si>
    <r>
      <t>2.</t>
    </r>
    <r>
      <rPr>
        <sz val="7"/>
        <rFont val="Times New Roman"/>
        <family val="1"/>
      </rPr>
      <t xml:space="preserve">     </t>
    </r>
    <r>
      <rPr>
        <sz val="10"/>
        <rFont val="Arial"/>
        <family val="2"/>
      </rPr>
      <t xml:space="preserve">Click </t>
    </r>
    <r>
      <rPr>
        <b/>
        <sz val="10"/>
        <rFont val="Arial"/>
        <family val="2"/>
      </rPr>
      <t>Triggers</t>
    </r>
    <r>
      <rPr>
        <sz val="10"/>
        <rFont val="Arial"/>
        <family val="2"/>
      </rPr>
      <t>.</t>
    </r>
  </si>
  <si>
    <r>
      <t>3.</t>
    </r>
    <r>
      <rPr>
        <sz val="7"/>
        <rFont val="Times New Roman"/>
        <family val="1"/>
      </rPr>
      <t xml:space="preserve">     </t>
    </r>
    <r>
      <rPr>
        <sz val="10"/>
        <rFont val="Arial"/>
        <family val="2"/>
      </rPr>
      <t>WHEN-NEW-FORM-INSTANCE</t>
    </r>
  </si>
  <si>
    <r>
      <t>4.</t>
    </r>
    <r>
      <rPr>
        <sz val="7"/>
        <rFont val="Times New Roman"/>
        <family val="1"/>
      </rPr>
      <t xml:space="preserve">     </t>
    </r>
    <r>
      <rPr>
        <sz val="10"/>
        <rFont val="Arial"/>
        <family val="2"/>
      </rPr>
      <t>Press F11, then change or modify the header as stated below.</t>
    </r>
  </si>
  <si>
    <r>
      <t>b.</t>
    </r>
    <r>
      <rPr>
        <sz val="7"/>
        <rFont val="Times New Roman"/>
        <family val="1"/>
      </rPr>
      <t xml:space="preserve">    </t>
    </r>
    <r>
      <rPr>
        <sz val="10"/>
        <rFont val="Arial"/>
        <family val="2"/>
      </rPr>
      <t>.rdf</t>
    </r>
  </si>
  <si>
    <r>
      <t>1.</t>
    </r>
    <r>
      <rPr>
        <sz val="7"/>
        <rFont val="Times New Roman"/>
        <family val="1"/>
      </rPr>
      <t xml:space="preserve">     </t>
    </r>
    <r>
      <rPr>
        <sz val="10"/>
        <rFont val="Arial"/>
        <family val="2"/>
      </rPr>
      <t xml:space="preserve">Open your </t>
    </r>
    <r>
      <rPr>
        <i/>
        <sz val="10"/>
        <rFont val="Arial"/>
        <family val="2"/>
      </rPr>
      <t>.rdf</t>
    </r>
    <r>
      <rPr>
        <sz val="10"/>
        <rFont val="Arial"/>
        <family val="2"/>
      </rPr>
      <t xml:space="preserve"> file</t>
    </r>
  </si>
  <si>
    <r>
      <t>2.</t>
    </r>
    <r>
      <rPr>
        <sz val="7"/>
        <rFont val="Times New Roman"/>
        <family val="1"/>
      </rPr>
      <t xml:space="preserve">     </t>
    </r>
    <r>
      <rPr>
        <sz val="10"/>
        <rFont val="Arial"/>
        <family val="2"/>
      </rPr>
      <t>Place the cursor on the report template and press F4.</t>
    </r>
  </si>
  <si>
    <r>
      <t>3.</t>
    </r>
    <r>
      <rPr>
        <sz val="7"/>
        <rFont val="Times New Roman"/>
        <family val="1"/>
      </rPr>
      <t xml:space="preserve">     </t>
    </r>
    <r>
      <rPr>
        <sz val="10"/>
        <rFont val="Arial"/>
        <family val="2"/>
      </rPr>
      <t>Go to the Comments section in Property Inspector, and double click on it.</t>
    </r>
  </si>
  <si>
    <r>
      <t>4.</t>
    </r>
    <r>
      <rPr>
        <sz val="7"/>
        <rFont val="Times New Roman"/>
        <family val="1"/>
      </rPr>
      <t xml:space="preserve">     </t>
    </r>
    <r>
      <rPr>
        <sz val="10"/>
        <rFont val="Arial"/>
        <family val="2"/>
      </rPr>
      <t>Add or modify the header as per your requirement.</t>
    </r>
  </si>
  <si>
    <r>
      <t>No, any custom code (</t>
    </r>
    <r>
      <rPr>
        <i/>
        <sz val="10"/>
        <rFont val="Arial"/>
        <family val="2"/>
      </rPr>
      <t>.sql</t>
    </r>
    <r>
      <rPr>
        <sz val="10"/>
        <rFont val="Arial"/>
        <family val="2"/>
      </rPr>
      <t xml:space="preserve">, </t>
    </r>
    <r>
      <rPr>
        <i/>
        <sz val="10"/>
        <rFont val="Arial"/>
        <family val="2"/>
      </rPr>
      <t>.pks</t>
    </r>
    <r>
      <rPr>
        <sz val="10"/>
        <rFont val="Arial"/>
        <family val="2"/>
      </rPr>
      <t xml:space="preserve">, </t>
    </r>
    <r>
      <rPr>
        <i/>
        <sz val="10"/>
        <rFont val="Arial"/>
        <family val="2"/>
      </rPr>
      <t>.pkb</t>
    </r>
    <r>
      <rPr>
        <sz val="10"/>
        <rFont val="Arial"/>
        <family val="2"/>
      </rPr>
      <t>, etc.) which contains special characters needs a specific tool to compile, such as Toad, SQL Developer, etc.</t>
    </r>
  </si>
  <si>
    <t>No, you cannot use different object type for same file.</t>
  </si>
  <si>
    <r>
      <t xml:space="preserve">Can I create </t>
    </r>
    <r>
      <rPr>
        <b/>
        <i/>
        <u/>
        <sz val="10"/>
        <rFont val="Arial"/>
        <family val="2"/>
      </rPr>
      <t>.pks</t>
    </r>
    <r>
      <rPr>
        <b/>
        <u/>
        <sz val="10"/>
        <rFont val="Arial"/>
        <family val="2"/>
      </rPr>
      <t xml:space="preserve">, </t>
    </r>
    <r>
      <rPr>
        <b/>
        <i/>
        <u/>
        <sz val="10"/>
        <rFont val="Arial"/>
        <family val="2"/>
      </rPr>
      <t>.pkb</t>
    </r>
    <r>
      <rPr>
        <b/>
        <u/>
        <sz val="10"/>
        <rFont val="Arial"/>
        <family val="2"/>
      </rPr>
      <t xml:space="preserve"> files with user prompt for an input?</t>
    </r>
  </si>
  <si>
    <t>Yes. However, the patch may fail with the error below, as it is not running in an interactive mode.</t>
  </si>
  <si>
    <t>SQL&gt; @XXMHP_LEARNING_ZONE_EXT_PKG_B.sql</t>
  </si>
  <si>
    <t>Enter value for 1: ***********"</t>
  </si>
  <si>
    <t>As a workaround to this failure, add "set define off" at the beginning of your script.</t>
  </si>
  <si>
    <t>Statut Livraison</t>
  </si>
  <si>
    <t>DESCRIPTION</t>
  </si>
  <si>
    <t>OBJECT_TYPE</t>
  </si>
  <si>
    <t>HEADER_FORMAT</t>
  </si>
  <si>
    <t>SQL Loader Data File</t>
  </si>
  <si>
    <t>.dat</t>
  </si>
  <si>
    <t>-- $Header: XXST_xxxx.pkb 1 2016-10-14 username $</t>
  </si>
  <si>
    <t>To deliver</t>
  </si>
  <si>
    <t>.bmp</t>
  </si>
  <si>
    <t>no header</t>
  </si>
  <si>
    <t>Do not delivered</t>
  </si>
  <si>
    <t>.c_idx</t>
  </si>
  <si>
    <t>REM $Header: XXST_xxxx.pkb 1 2016-10-14 username $</t>
  </si>
  <si>
    <t>.c_seq</t>
  </si>
  <si>
    <t>.c_sql_exec</t>
  </si>
  <si>
    <t>REM $Header: XXST_BEFORE_STRUCT_V_PK.c_sql_exec 1 2017-12-04 M.TIGNON $</t>
  </si>
  <si>
    <t>.c_tbl</t>
  </si>
  <si>
    <t>REM $Header: XXST_KYRIBA_ALL_PMT_ALTER_script.c_tbl 1 2017-09-27 M.TIGNON $</t>
  </si>
  <si>
    <t>.c_vw</t>
  </si>
  <si>
    <t>REM $Header: XXST_HXC_TIME_ATTRIBUTES_V1.c_vw 1 2017-05-03 H.BODET $</t>
  </si>
  <si>
    <t>SQL Loader Control File</t>
  </si>
  <si>
    <t>.ctl</t>
  </si>
  <si>
    <t>REM $Header: XXSTPHRCPX.ctl 1 2017-09-27 PE.KRESSER $</t>
  </si>
  <si>
    <t>.eex</t>
  </si>
  <si>
    <t>$Header: XXST_xxxx.pkb 1 2016-10-14 username $</t>
  </si>
  <si>
    <t>Forms Source and Text</t>
  </si>
  <si>
    <t>.fmb</t>
  </si>
  <si>
    <t>#$Header: XXST_PRICE_LIST.fmb xxx 2017-12-22 V KHARE $</t>
  </si>
  <si>
    <t>Forms Compiled</t>
  </si>
  <si>
    <t>.fmx</t>
  </si>
  <si>
    <t>.java</t>
  </si>
  <si>
    <t>/* $Header: XXST_xxxx.pkb 1 2016-10-14 username $ */</t>
  </si>
  <si>
    <t>JPEG Image</t>
  </si>
  <si>
    <t>.jpg</t>
  </si>
  <si>
    <t>.jsp</t>
  </si>
  <si>
    <t>&lt;% -- "$Header: XXST_xxxx.pkb 1 2016-10-14 username" -- %&gt;</t>
  </si>
  <si>
    <t>.ldt</t>
  </si>
  <si>
    <t>#$Header: XXST_UPDATE_SUPPLIER_EMPLOYEE_AD_RG.ldt 1 2017-03-24 Prachi PATHAK $</t>
  </si>
  <si>
    <t>.pkb</t>
  </si>
  <si>
    <t>REM $Header: XXST_AP071_CONCUR_GROUP_PKG.pkb 1.18 2017-03-24 Prachi PATHAK $</t>
  </si>
  <si>
    <t>.pks</t>
  </si>
  <si>
    <t>REM $Header: XXST_AP_EMPLOYEE_UPDATE_PKG.pks 1 2017-03-24 Prachi PATHAK $</t>
  </si>
  <si>
    <t>Forms Library Source and Runtime</t>
  </si>
  <si>
    <t>.rdf</t>
  </si>
  <si>
    <t xml:space="preserve">$Header: $Header: XXSTRAXINV_IN.rdf 154 2018/02/12 00:00  mak ship                                                                                                                                                                                                                                                          $
 154 2018/02/12 00:00  mak ship                                                                                                                                                                                                                                                          $
</t>
  </si>
  <si>
    <t>RTF File</t>
  </si>
  <si>
    <t>.rtf</t>
  </si>
  <si>
    <t>$Header: XXST_OTL050_MISSING_TS_US.rtf 1 2017-12-04 H.BODET $</t>
  </si>
  <si>
    <t>Shell Script Copy Only</t>
  </si>
  <si>
    <t>.shell</t>
  </si>
  <si>
    <t>$Header: XXST_CONCUR_GROUP_INTERFACE.shell 1.6 2017-03-24 Prachi PATHAK $#</t>
  </si>
  <si>
    <t>.sql</t>
  </si>
  <si>
    <t>REM $Header: XXST_PAINV.sql 1 2017-12-12 M.TIGNON $</t>
  </si>
  <si>
    <t>SQL File Copy and Execute as APPS</t>
  </si>
  <si>
    <t>.sql_exec</t>
  </si>
  <si>
    <t>REM $Header: XXST_ACCESS_UPLOAD.sql_exec 1 2017-09-25 M.TIGNON $</t>
  </si>
  <si>
    <t>.syn</t>
  </si>
  <si>
    <t>REM $HEADER$</t>
  </si>
  <si>
    <t>.vw</t>
  </si>
  <si>
    <t>REM $Header: XXST_PA_TRX_HEADER_VIEW_Create.vw 1 2017-03-06 F.VALDIZAN $</t>
  </si>
  <si>
    <t>.wft</t>
  </si>
  <si>
    <t># $Header: XXST_xxxx.pkb 1 2016-10-14 username $</t>
  </si>
  <si>
    <t>.xls</t>
  </si>
  <si>
    <t>$Header: XXST_List_Assets.xls 1 2017-12-28 M.TIGNON $</t>
  </si>
  <si>
    <t>.xml</t>
  </si>
  <si>
    <t>@2&lt;!-- $HEADER$ --&gt;</t>
  </si>
  <si>
    <t>XML Publisher Data Template</t>
  </si>
  <si>
    <t>.xmlp_dt</t>
  </si>
  <si>
    <t>.xmlp_rtf</t>
  </si>
  <si>
    <t xml:space="preserve">$Header: XXST_OTL050_MISSING_TS_US.xmlp_rtf 2 2017-12-04 H.BODET $ </t>
  </si>
  <si>
    <t>.xmlp_xlf</t>
  </si>
  <si>
    <t>@2&lt;!-- $Header: XXST_xxxx.pkb 1 2016-10-14 username $ --&gt;</t>
  </si>
  <si>
    <t>APPS Procedure</t>
  </si>
  <si>
    <t>.prc</t>
  </si>
  <si>
    <t>/*REM $Header: XXST_PA141_UPD_BILL_FLAG.prc 001.000.000 2020-09-22 Rishi PATHANIA $*/</t>
  </si>
  <si>
    <t>Rishi PATHANIA</t>
  </si>
  <si>
    <t>Varsha</t>
  </si>
  <si>
    <t>OTL</t>
  </si>
  <si>
    <t>OTL01</t>
  </si>
  <si>
    <t>US123823</t>
  </si>
  <si>
    <t>OTL01 - Weekly Time card User OAF</t>
  </si>
  <si>
    <t>10000115369-CEMLI#US (OTL01_US123823_04)</t>
  </si>
  <si>
    <t>Custom1VO.xml</t>
  </si>
  <si>
    <t>Custom2VO.xml</t>
  </si>
  <si>
    <t>Custom3VO.xml</t>
  </si>
  <si>
    <t>Custom4VO.xml</t>
  </si>
  <si>
    <t>ProjectLOVVO.xml</t>
  </si>
  <si>
    <t>OFA_R12.2/XXST_OTL/BIN/</t>
  </si>
  <si>
    <t>TcActivitiesPG.xml</t>
  </si>
  <si>
    <t>001.000.000</t>
  </si>
  <si>
    <t>f86b726a55b7acb27d798e34e6e664dd4182146b</t>
  </si>
  <si>
    <t>XXST_Migrate_lov.sql_exec</t>
  </si>
  <si>
    <t>OFA_R12.2/XXST_OTL/SQL/</t>
  </si>
  <si>
    <t>882a8aec6067623f9a7b6161d82900c2a6e89b93</t>
  </si>
  <si>
    <t>XXST_OTL_CUSTOMVO.shell_exec_last</t>
  </si>
  <si>
    <t>Shell Script execute last</t>
  </si>
  <si>
    <t>.shell_exec_last</t>
  </si>
  <si>
    <t>#$Header: XXST_OTL_CUSTOMVO.shell_exec_last 001.000.000 2020-03-23 RPATHANIA$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</si>
</sst>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b/>
      <sz val="10"/>
      <color theme="0"/>
      <name val="Tahoma"/>
      <family val="2"/>
    </font>
    <font>
      <b/>
      <sz val="10"/>
      <name val="Tahoma"/>
      <family val="2"/>
    </font>
    <font>
      <u/>
      <sz val="10"/>
      <color indexed="12"/>
      <name val="Arial"/>
      <family val="2"/>
    </font>
    <font>
      <sz val="10"/>
      <color theme="1"/>
      <name val="Arial"/>
      <family val="2"/>
    </font>
    <font>
      <sz val="10"/>
      <color theme="1"/>
      <name val="Tahoma"/>
      <family val="2"/>
    </font>
    <font>
      <i/>
      <sz val="10"/>
      <color theme="1"/>
      <name val="Arial"/>
      <family val="2"/>
    </font>
    <font>
      <i/>
      <sz val="10"/>
      <color theme="1"/>
      <name val="Tahoma"/>
      <family val="2"/>
    </font>
    <font>
      <b/>
      <sz val="10"/>
      <name val="Cambria"/>
      <family val="1"/>
    </font>
    <font>
      <sz val="10"/>
      <name val="Tahoma"/>
      <family val="2"/>
    </font>
    <font>
      <sz val="10"/>
      <color theme="0"/>
      <name val="Tahoma"/>
      <family val="2"/>
    </font>
    <font>
      <b/>
      <sz val="8"/>
      <color theme="0"/>
      <name val="Tahoma"/>
      <family val="2"/>
    </font>
    <font>
      <sz val="10"/>
      <name val="Arial"/>
      <family val="2"/>
    </font>
    <font>
      <b/>
      <sz val="10"/>
      <name val="Arial"/>
      <family val="2"/>
    </font>
    <font>
      <b/>
      <sz val="9"/>
      <color theme="0"/>
      <name val="Arial"/>
      <family val="2"/>
    </font>
    <font>
      <sz val="8"/>
      <name val="Arial"/>
      <family val="2"/>
    </font>
    <font>
      <u/>
      <sz val="10"/>
      <name val="Arial"/>
      <family val="2"/>
    </font>
    <font>
      <i/>
      <u/>
      <sz val="10"/>
      <name val="Arial"/>
      <family val="2"/>
    </font>
    <font>
      <b/>
      <u/>
      <sz val="10"/>
      <name val="Arial"/>
      <family val="2"/>
    </font>
    <font>
      <i/>
      <sz val="10"/>
      <name val="Arial"/>
      <family val="2"/>
    </font>
    <font>
      <sz val="10"/>
      <name val="Courier New"/>
      <family val="3"/>
    </font>
    <font>
      <b/>
      <i/>
      <u/>
      <sz val="10"/>
      <name val="Arial"/>
      <family val="2"/>
    </font>
    <font>
      <sz val="7"/>
      <name val="Times New Roman"/>
      <family val="1"/>
    </font>
    <font>
      <sz val="11"/>
      <color theme="1"/>
      <name val="Segoe UI"/>
      <family val="2"/>
    </font>
  </fonts>
  <fills count="13">
    <fill>
      <patternFill patternType="none"/>
    </fill>
    <fill>
      <patternFill patternType="gray125"/>
    </fill>
    <fill>
      <patternFill patternType="solid">
        <fgColor theme="4" tint="-0.249977111117893"/>
        <bgColor indexed="64"/>
      </patternFill>
    </fill>
    <fill>
      <patternFill patternType="solid">
        <fgColor theme="4"/>
        <bgColor indexed="64"/>
      </patternFill>
    </fill>
    <fill>
      <patternFill patternType="solid">
        <fgColor theme="2"/>
        <bgColor indexed="64"/>
      </patternFill>
    </fill>
    <fill>
      <patternFill patternType="solid">
        <fgColor theme="0" tint="-0.499984740745262"/>
        <bgColor indexed="64"/>
      </patternFill>
    </fill>
    <fill>
      <patternFill patternType="solid">
        <fgColor rgb="FFFFFFFF"/>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0"/>
        <bgColor indexed="64"/>
      </patternFill>
    </fill>
    <fill>
      <patternFill patternType="solid">
        <fgColor theme="2" tint="-0.499984740745262"/>
        <bgColor indexed="64"/>
      </patternFill>
    </fill>
    <fill>
      <patternFill patternType="solid">
        <fgColor rgb="FFFF9900"/>
        <bgColor indexed="64"/>
      </patternFill>
    </fill>
    <fill>
      <patternFill patternType="solid">
        <fgColor rgb="FFFFFF00"/>
        <bgColor indexed="64"/>
      </patternFill>
    </fill>
  </fills>
  <borders count="36">
    <border>
      <left/>
      <right/>
      <top/>
      <bottom/>
      <diagonal/>
    </border>
    <border>
      <left style="double">
        <color rgb="FF960000"/>
      </left>
      <right/>
      <top style="double">
        <color rgb="FF960000"/>
      </top>
      <bottom style="medium">
        <color indexed="64"/>
      </bottom>
      <diagonal/>
    </border>
    <border>
      <left/>
      <right/>
      <top style="double">
        <color rgb="FF960000"/>
      </top>
      <bottom style="medium">
        <color indexed="64"/>
      </bottom>
      <diagonal/>
    </border>
    <border>
      <left/>
      <right style="double">
        <color rgb="FF960000"/>
      </right>
      <top style="double">
        <color rgb="FF960000"/>
      </top>
      <bottom style="medium">
        <color indexed="64"/>
      </bottom>
      <diagonal/>
    </border>
    <border>
      <left style="double">
        <color rgb="FF960000"/>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double">
        <color rgb="FF960000"/>
      </right>
      <top style="medium">
        <color indexed="64"/>
      </top>
      <bottom style="medium">
        <color indexed="64"/>
      </bottom>
      <diagonal/>
    </border>
    <border>
      <left style="double">
        <color rgb="FF960000"/>
      </left>
      <right style="medium">
        <color indexed="64"/>
      </right>
      <top style="medium">
        <color indexed="64"/>
      </top>
      <bottom style="medium">
        <color indexed="64"/>
      </bottom>
      <diagonal/>
    </border>
    <border>
      <left style="double">
        <color rgb="FF960000"/>
      </left>
      <right/>
      <top style="medium">
        <color indexed="64"/>
      </top>
      <bottom/>
      <diagonal/>
    </border>
    <border>
      <left/>
      <right style="medium">
        <color indexed="64"/>
      </right>
      <top style="medium">
        <color indexed="64"/>
      </top>
      <bottom/>
      <diagonal/>
    </border>
    <border>
      <left/>
      <right style="double">
        <color rgb="FF960000"/>
      </right>
      <top/>
      <bottom/>
      <diagonal/>
    </border>
    <border>
      <left style="double">
        <color rgb="FF960000"/>
      </left>
      <right style="medium">
        <color indexed="64"/>
      </right>
      <top/>
      <bottom/>
      <diagonal/>
    </border>
    <border>
      <left style="medium">
        <color indexed="64"/>
      </left>
      <right/>
      <top style="medium">
        <color indexed="64"/>
      </top>
      <bottom/>
      <diagonal/>
    </border>
    <border>
      <left style="medium">
        <color indexed="64"/>
      </left>
      <right style="double">
        <color rgb="FF960000"/>
      </right>
      <top style="medium">
        <color indexed="64"/>
      </top>
      <bottom/>
      <diagonal/>
    </border>
    <border>
      <left style="double">
        <color rgb="FF960000"/>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double">
        <color rgb="FF960000"/>
      </left>
      <right style="thin">
        <color indexed="64"/>
      </right>
      <top style="medium">
        <color indexed="64"/>
      </top>
      <bottom style="thin">
        <color indexed="64"/>
      </bottom>
      <diagonal/>
    </border>
    <border>
      <left style="double">
        <color rgb="FF960000"/>
      </left>
      <right style="thin">
        <color indexed="64"/>
      </right>
      <top style="thin">
        <color indexed="64"/>
      </top>
      <bottom style="medium">
        <color indexed="64"/>
      </bottom>
      <diagonal/>
    </border>
    <border>
      <left style="double">
        <color rgb="FF960000"/>
      </left>
      <right style="thin">
        <color indexed="64"/>
      </right>
      <top style="medium">
        <color indexed="64"/>
      </top>
      <bottom style="double">
        <color rgb="FF96000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double">
        <color rgb="FF960000"/>
      </left>
      <right style="double">
        <color rgb="FF960000"/>
      </right>
      <top style="medium">
        <color indexed="64"/>
      </top>
      <bottom style="double">
        <color rgb="FF960000"/>
      </bottom>
      <diagonal/>
    </border>
    <border>
      <left style="thin">
        <color indexed="64"/>
      </left>
      <right style="double">
        <color indexed="64"/>
      </right>
      <top style="medium">
        <color indexed="64"/>
      </top>
      <bottom style="medium">
        <color indexed="64"/>
      </bottom>
      <diagonal/>
    </border>
    <border>
      <left style="thin">
        <color indexed="64"/>
      </left>
      <right style="double">
        <color rgb="FF960000"/>
      </right>
      <top/>
      <bottom style="double">
        <color rgb="FF960000"/>
      </bottom>
      <diagonal/>
    </border>
    <border>
      <left style="thin">
        <color indexed="64"/>
      </left>
      <right style="double">
        <color indexed="64"/>
      </right>
      <top style="medium">
        <color indexed="64"/>
      </top>
      <bottom/>
      <diagonal/>
    </border>
    <border>
      <left style="medium">
        <color indexed="64"/>
      </left>
      <right/>
      <top/>
      <bottom/>
      <diagonal/>
    </border>
    <border>
      <left style="thin">
        <color indexed="64"/>
      </left>
      <right style="thin">
        <color indexed="64"/>
      </right>
      <top/>
      <bottom/>
      <diagonal/>
    </border>
  </borders>
  <cellStyleXfs count="4">
    <xf numFmtId="0" fontId="0" fillId="0" borderId="0"/>
    <xf numFmtId="0" fontId="3" fillId="0" borderId="0" applyNumberFormat="0" applyFill="0" applyBorder="0" applyAlignment="0" applyProtection="0">
      <alignment vertical="top"/>
      <protection locked="0"/>
    </xf>
    <xf numFmtId="0" fontId="12" fillId="0" borderId="0"/>
    <xf numFmtId="0" fontId="12" fillId="0" borderId="0">
      <alignment horizontal="center" vertical="center"/>
    </xf>
  </cellStyleXfs>
  <cellXfs count="116">
    <xf numFmtId="0" fontId="0" fillId="0" borderId="0" xfId="0"/>
    <xf numFmtId="0" fontId="1" fillId="3" borderId="4" xfId="0" applyFont="1" applyFill="1" applyBorder="1" applyAlignment="1">
      <alignment horizontal="left" vertical="center"/>
    </xf>
    <xf numFmtId="0" fontId="1" fillId="3" borderId="8" xfId="0" applyFont="1" applyFill="1" applyBorder="1" applyAlignment="1">
      <alignment horizontal="left" vertical="center"/>
    </xf>
    <xf numFmtId="0" fontId="8" fillId="0" borderId="0" xfId="0" applyFont="1" applyBorder="1" applyAlignment="1">
      <alignment vertical="center"/>
    </xf>
    <xf numFmtId="0" fontId="8" fillId="0" borderId="11" xfId="0" applyFont="1" applyBorder="1" applyAlignment="1">
      <alignment vertical="center"/>
    </xf>
    <xf numFmtId="0" fontId="1" fillId="3" borderId="12"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14" xfId="0" applyFont="1" applyFill="1" applyBorder="1" applyAlignment="1">
      <alignment horizontal="center" vertical="center"/>
    </xf>
    <xf numFmtId="0" fontId="1" fillId="3" borderId="15" xfId="0" applyFont="1" applyFill="1" applyBorder="1" applyAlignment="1">
      <alignment vertical="center"/>
    </xf>
    <xf numFmtId="0" fontId="9" fillId="0" borderId="16" xfId="0" applyNumberFormat="1" applyFont="1" applyBorder="1" applyAlignment="1">
      <alignment horizontal="center" vertical="center"/>
    </xf>
    <xf numFmtId="0" fontId="9" fillId="5" borderId="16" xfId="0" applyNumberFormat="1" applyFont="1" applyFill="1" applyBorder="1" applyAlignment="1">
      <alignment horizontal="center" vertical="center"/>
    </xf>
    <xf numFmtId="0" fontId="1" fillId="3" borderId="17" xfId="0" applyFont="1" applyFill="1" applyBorder="1" applyAlignment="1">
      <alignment vertical="center"/>
    </xf>
    <xf numFmtId="0" fontId="1" fillId="3" borderId="18" xfId="0" applyFont="1" applyFill="1" applyBorder="1" applyAlignment="1">
      <alignment vertical="center"/>
    </xf>
    <xf numFmtId="0" fontId="1" fillId="3" borderId="19" xfId="0" applyFont="1" applyFill="1" applyBorder="1" applyAlignment="1">
      <alignment vertical="center"/>
    </xf>
    <xf numFmtId="0" fontId="11" fillId="3" borderId="20" xfId="0" applyFont="1" applyFill="1" applyBorder="1" applyAlignment="1">
      <alignment horizontal="center" vertical="center"/>
    </xf>
    <xf numFmtId="0" fontId="11"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3" borderId="21" xfId="0" applyFont="1" applyFill="1" applyBorder="1" applyAlignment="1">
      <alignment horizontal="center" vertical="center"/>
    </xf>
    <xf numFmtId="0" fontId="11" fillId="3" borderId="22" xfId="0" applyFont="1" applyFill="1" applyBorder="1" applyAlignment="1">
      <alignment horizontal="center" vertical="center"/>
    </xf>
    <xf numFmtId="0" fontId="12" fillId="7" borderId="23" xfId="0" applyFont="1" applyFill="1" applyBorder="1" applyAlignment="1">
      <alignment horizontal="center"/>
    </xf>
    <xf numFmtId="0" fontId="12" fillId="7" borderId="23" xfId="0" applyFont="1" applyFill="1" applyBorder="1"/>
    <xf numFmtId="0" fontId="13" fillId="0" borderId="23" xfId="0" applyFont="1" applyBorder="1"/>
    <xf numFmtId="0" fontId="14" fillId="8" borderId="23" xfId="2" applyFont="1" applyFill="1" applyBorder="1" applyAlignment="1">
      <alignment horizontal="center"/>
    </xf>
    <xf numFmtId="0" fontId="15" fillId="9" borderId="23" xfId="2" applyFont="1" applyFill="1" applyBorder="1"/>
    <xf numFmtId="0" fontId="15" fillId="9" borderId="23" xfId="2" applyFont="1" applyFill="1" applyBorder="1" applyAlignment="1">
      <alignment horizontal="center"/>
    </xf>
    <xf numFmtId="0" fontId="15" fillId="9" borderId="23" xfId="2" quotePrefix="1" applyFont="1" applyFill="1" applyBorder="1"/>
    <xf numFmtId="0" fontId="12" fillId="4" borderId="0" xfId="3" applyFont="1" applyFill="1" applyAlignment="1">
      <alignment horizontal="left" vertical="center"/>
    </xf>
    <xf numFmtId="0" fontId="12" fillId="0" borderId="0" xfId="3" applyProtection="1">
      <alignment horizontal="center" vertical="center"/>
    </xf>
    <xf numFmtId="0" fontId="12" fillId="0" borderId="0" xfId="3" applyAlignment="1" applyProtection="1">
      <alignment horizontal="left" vertical="center"/>
    </xf>
    <xf numFmtId="0" fontId="12" fillId="0" borderId="0" xfId="3">
      <alignment horizontal="center" vertical="center"/>
    </xf>
    <xf numFmtId="0" fontId="12" fillId="0" borderId="0" xfId="3" applyAlignment="1">
      <alignment horizontal="left" vertical="center"/>
    </xf>
    <xf numFmtId="0" fontId="12" fillId="9" borderId="0" xfId="3" applyFont="1" applyFill="1" applyProtection="1">
      <alignment horizontal="center" vertical="center"/>
    </xf>
    <xf numFmtId="0" fontId="12" fillId="9" borderId="0" xfId="3" applyFont="1" applyFill="1" applyAlignment="1" applyProtection="1">
      <alignment horizontal="left" vertical="center"/>
    </xf>
    <xf numFmtId="0" fontId="12" fillId="9" borderId="0" xfId="3" applyFont="1" applyFill="1">
      <alignment horizontal="center" vertical="center"/>
    </xf>
    <xf numFmtId="0" fontId="12" fillId="9" borderId="0" xfId="0" applyFont="1" applyFill="1"/>
    <xf numFmtId="0" fontId="12" fillId="9" borderId="0" xfId="3" applyFont="1" applyFill="1" applyAlignment="1">
      <alignment horizontal="left" vertical="center"/>
    </xf>
    <xf numFmtId="0" fontId="16" fillId="0" borderId="0" xfId="0" applyFont="1" applyAlignment="1">
      <alignment vertical="center"/>
    </xf>
    <xf numFmtId="0" fontId="0" fillId="3" borderId="0" xfId="0" applyFill="1"/>
    <xf numFmtId="0" fontId="13" fillId="9" borderId="0" xfId="3" applyFont="1" applyFill="1" applyProtection="1">
      <alignment horizontal="center" vertical="center"/>
    </xf>
    <xf numFmtId="0" fontId="12" fillId="0" borderId="0" xfId="3" applyFont="1" applyAlignment="1" applyProtection="1">
      <alignment horizontal="left" vertical="center"/>
    </xf>
    <xf numFmtId="0" fontId="12" fillId="6" borderId="0" xfId="3" applyFill="1" applyProtection="1">
      <alignment horizontal="center" vertical="center"/>
    </xf>
    <xf numFmtId="0" fontId="13" fillId="0" borderId="0" xfId="3" applyFont="1" applyAlignment="1" applyProtection="1">
      <alignment horizontal="left" vertical="center"/>
    </xf>
    <xf numFmtId="0" fontId="13" fillId="3" borderId="0" xfId="3" applyFont="1" applyFill="1" applyAlignment="1">
      <alignment horizontal="left" vertical="center"/>
    </xf>
    <xf numFmtId="0" fontId="13" fillId="6" borderId="0" xfId="3" applyFont="1" applyFill="1" applyProtection="1">
      <alignment horizontal="center" vertical="center"/>
    </xf>
    <xf numFmtId="0" fontId="13" fillId="9" borderId="0" xfId="3" applyFont="1" applyFill="1" applyAlignment="1" applyProtection="1">
      <alignment horizontal="left" vertical="center"/>
    </xf>
    <xf numFmtId="0" fontId="12" fillId="0" borderId="23" xfId="3" applyFont="1" applyBorder="1" applyAlignment="1">
      <alignment horizontal="left" vertical="center"/>
    </xf>
    <xf numFmtId="0" fontId="12" fillId="6" borderId="0" xfId="3" applyFill="1" applyAlignment="1">
      <alignment vertical="center"/>
    </xf>
    <xf numFmtId="0" fontId="12" fillId="6" borderId="0" xfId="3" applyFont="1" applyFill="1" applyAlignment="1">
      <alignment vertical="center"/>
    </xf>
    <xf numFmtId="0" fontId="12" fillId="0" borderId="0" xfId="3" applyAlignment="1">
      <alignment vertical="center"/>
    </xf>
    <xf numFmtId="0" fontId="12" fillId="0" borderId="23" xfId="3" applyBorder="1" applyAlignment="1">
      <alignment horizontal="left" vertical="center"/>
    </xf>
    <xf numFmtId="0" fontId="12" fillId="0" borderId="24" xfId="3" applyBorder="1" applyAlignment="1">
      <alignment horizontal="left" vertical="center"/>
    </xf>
    <xf numFmtId="0" fontId="12" fillId="0" borderId="25" xfId="3" applyBorder="1" applyAlignment="1" applyProtection="1">
      <alignment horizontal="left" vertical="center"/>
    </xf>
    <xf numFmtId="0" fontId="12" fillId="0" borderId="25" xfId="3" applyBorder="1" applyProtection="1">
      <alignment horizontal="center" vertical="center"/>
    </xf>
    <xf numFmtId="0" fontId="12" fillId="0" borderId="25" xfId="3" applyBorder="1">
      <alignment horizontal="center" vertical="center"/>
    </xf>
    <xf numFmtId="0" fontId="12" fillId="0" borderId="26" xfId="3" applyBorder="1">
      <alignment horizontal="center" vertical="center"/>
    </xf>
    <xf numFmtId="0" fontId="12" fillId="0" borderId="24" xfId="3" applyFont="1" applyBorder="1" applyAlignment="1" applyProtection="1">
      <alignment horizontal="left" vertical="center"/>
    </xf>
    <xf numFmtId="0" fontId="12" fillId="0" borderId="24" xfId="3" applyBorder="1" applyAlignment="1">
      <alignment vertical="center"/>
    </xf>
    <xf numFmtId="0" fontId="12" fillId="0" borderId="24" xfId="3" applyFont="1" applyBorder="1" applyAlignment="1">
      <alignment horizontal="left" vertical="center"/>
    </xf>
    <xf numFmtId="0" fontId="18" fillId="0" borderId="0" xfId="0" applyFont="1" applyAlignment="1">
      <alignment vertical="center"/>
    </xf>
    <xf numFmtId="0" fontId="12" fillId="0" borderId="0" xfId="0" applyFont="1" applyAlignment="1">
      <alignment vertical="center"/>
    </xf>
    <xf numFmtId="0" fontId="20" fillId="0" borderId="0" xfId="0" applyFont="1" applyAlignment="1">
      <alignment vertical="center"/>
    </xf>
    <xf numFmtId="0" fontId="12" fillId="0" borderId="0" xfId="0" applyFont="1" applyAlignment="1">
      <alignment horizontal="left" vertical="center" indent="6"/>
    </xf>
    <xf numFmtId="0" fontId="12" fillId="0" borderId="0" xfId="0" applyFont="1" applyAlignment="1">
      <alignment horizontal="left" vertical="center" indent="4"/>
    </xf>
    <xf numFmtId="0" fontId="12" fillId="0" borderId="0" xfId="0" applyFont="1" applyAlignment="1">
      <alignment horizontal="left" vertical="center" indent="5"/>
    </xf>
    <xf numFmtId="0" fontId="9" fillId="10" borderId="16" xfId="0" applyNumberFormat="1" applyFont="1" applyFill="1" applyBorder="1" applyAlignment="1">
      <alignment horizontal="center" vertical="center"/>
    </xf>
    <xf numFmtId="14" fontId="9" fillId="5" borderId="29" xfId="0" applyNumberFormat="1" applyFont="1" applyFill="1" applyBorder="1" applyAlignment="1">
      <alignment horizontal="center" vertical="center"/>
    </xf>
    <xf numFmtId="0" fontId="9" fillId="5" borderId="16" xfId="0" applyFont="1" applyFill="1" applyBorder="1" applyAlignment="1">
      <alignment horizontal="center" vertical="center"/>
    </xf>
    <xf numFmtId="0" fontId="0" fillId="0" borderId="6" xfId="0" applyBorder="1"/>
    <xf numFmtId="0" fontId="9" fillId="5" borderId="30" xfId="0" applyFont="1" applyFill="1" applyBorder="1" applyAlignment="1">
      <alignment horizontal="center" vertical="center"/>
    </xf>
    <xf numFmtId="0" fontId="9" fillId="5" borderId="32" xfId="0" applyFont="1" applyFill="1" applyBorder="1" applyAlignment="1">
      <alignment horizontal="center" vertical="center"/>
    </xf>
    <xf numFmtId="14" fontId="9" fillId="5" borderId="31" xfId="0" applyNumberFormat="1" applyFont="1" applyFill="1" applyBorder="1" applyAlignment="1">
      <alignment horizontal="center" vertical="center"/>
    </xf>
    <xf numFmtId="14" fontId="9" fillId="5" borderId="33" xfId="0" applyNumberFormat="1" applyFont="1" applyFill="1" applyBorder="1" applyAlignment="1">
      <alignment horizontal="center" vertical="center"/>
    </xf>
    <xf numFmtId="0" fontId="9" fillId="5" borderId="27" xfId="0" applyFont="1" applyFill="1" applyBorder="1" applyAlignment="1">
      <alignment horizontal="center" vertical="center"/>
    </xf>
    <xf numFmtId="0" fontId="0" fillId="0" borderId="34" xfId="0" applyBorder="1"/>
    <xf numFmtId="0" fontId="9" fillId="6" borderId="16" xfId="0" applyNumberFormat="1" applyFont="1" applyFill="1" applyBorder="1" applyAlignment="1">
      <alignment horizontal="center" vertical="center"/>
    </xf>
    <xf numFmtId="0" fontId="0" fillId="6" borderId="0" xfId="0" applyFill="1"/>
    <xf numFmtId="0" fontId="0" fillId="11" borderId="0" xfId="0" applyFill="1"/>
    <xf numFmtId="15" fontId="9" fillId="0" borderId="16" xfId="0" applyNumberFormat="1" applyFont="1" applyBorder="1" applyAlignment="1">
      <alignment horizontal="center" vertical="center"/>
    </xf>
    <xf numFmtId="14" fontId="0" fillId="0" borderId="0" xfId="0" applyNumberFormat="1"/>
    <xf numFmtId="20" fontId="0" fillId="0" borderId="0" xfId="0" applyNumberFormat="1"/>
    <xf numFmtId="3" fontId="0" fillId="0" borderId="0" xfId="0" applyNumberFormat="1"/>
    <xf numFmtId="0" fontId="15" fillId="12" borderId="23" xfId="2" applyFont="1" applyFill="1" applyBorder="1" applyAlignment="1">
      <alignment horizontal="center"/>
    </xf>
    <xf numFmtId="0" fontId="23" fillId="0" borderId="0" xfId="0" applyFont="1"/>
    <xf numFmtId="0" fontId="1" fillId="2" borderId="5" xfId="0" applyFont="1" applyFill="1" applyBorder="1" applyAlignment="1">
      <alignment vertical="center"/>
    </xf>
    <xf numFmtId="0" fontId="1" fillId="2" borderId="6" xfId="0" applyFont="1" applyFill="1" applyBorder="1" applyAlignment="1">
      <alignment vertical="center"/>
    </xf>
    <xf numFmtId="0" fontId="4" fillId="0" borderId="5" xfId="1" applyFont="1" applyBorder="1" applyAlignment="1" applyProtection="1">
      <alignment horizontal="left" vertical="center" indent="1"/>
    </xf>
    <xf numFmtId="0" fontId="5" fillId="0" borderId="6" xfId="0" applyFont="1" applyBorder="1" applyAlignment="1">
      <alignment horizontal="left" vertical="center" indent="1"/>
    </xf>
    <xf numFmtId="0" fontId="5" fillId="0" borderId="7" xfId="0" applyFont="1" applyBorder="1" applyAlignment="1">
      <alignment horizontal="left" vertical="center" indent="1"/>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2" fillId="4" borderId="5" xfId="0" applyFont="1" applyFill="1" applyBorder="1" applyAlignment="1">
      <alignment horizontal="left" vertical="center" indent="1"/>
    </xf>
    <xf numFmtId="0" fontId="2" fillId="4" borderId="6" xfId="0" applyFont="1" applyFill="1" applyBorder="1" applyAlignment="1">
      <alignment horizontal="left" vertical="center" indent="1"/>
    </xf>
    <xf numFmtId="0" fontId="2" fillId="4" borderId="7" xfId="0" applyFont="1" applyFill="1" applyBorder="1" applyAlignment="1">
      <alignment horizontal="left" vertical="center" indent="1"/>
    </xf>
    <xf numFmtId="0" fontId="9" fillId="0" borderId="27" xfId="0" applyNumberFormat="1" applyFont="1" applyBorder="1" applyAlignment="1">
      <alignment horizontal="center" vertical="center"/>
    </xf>
    <xf numFmtId="0" fontId="9" fillId="0" borderId="6" xfId="0" applyNumberFormat="1" applyFont="1" applyBorder="1" applyAlignment="1">
      <alignment horizontal="center" vertical="center"/>
    </xf>
    <xf numFmtId="0" fontId="9" fillId="0" borderId="28" xfId="0" applyNumberFormat="1" applyFont="1" applyBorder="1" applyAlignment="1">
      <alignment horizontal="center" vertical="center"/>
    </xf>
    <xf numFmtId="0" fontId="1" fillId="2" borderId="1" xfId="0" applyFont="1" applyFill="1" applyBorder="1" applyAlignment="1">
      <alignment horizontal="left" vertical="center"/>
    </xf>
    <xf numFmtId="0" fontId="1" fillId="6" borderId="2" xfId="0" applyFont="1" applyFill="1" applyBorder="1" applyAlignment="1">
      <alignment horizontal="left" vertical="center"/>
    </xf>
    <xf numFmtId="0" fontId="1" fillId="2" borderId="2" xfId="0" applyFont="1" applyFill="1" applyBorder="1" applyAlignment="1">
      <alignment horizontal="left" vertical="center"/>
    </xf>
    <xf numFmtId="0" fontId="1" fillId="2" borderId="3" xfId="0" applyFont="1" applyFill="1" applyBorder="1" applyAlignment="1">
      <alignment horizontal="left" vertical="center"/>
    </xf>
    <xf numFmtId="0" fontId="9" fillId="0" borderId="5" xfId="0" applyFont="1" applyBorder="1" applyAlignment="1">
      <alignment horizontal="center" vertical="center" wrapText="1"/>
    </xf>
    <xf numFmtId="0" fontId="9" fillId="6" borderId="6" xfId="0" applyFont="1" applyFill="1" applyBorder="1" applyAlignment="1">
      <alignment horizontal="center" vertical="center"/>
    </xf>
    <xf numFmtId="0" fontId="9" fillId="0" borderId="6" xfId="0" applyFont="1" applyBorder="1" applyAlignment="1">
      <alignment horizontal="center" vertical="center"/>
    </xf>
    <xf numFmtId="0" fontId="9" fillId="0" borderId="22" xfId="0" applyFont="1" applyBorder="1" applyAlignment="1">
      <alignment horizontal="center" vertical="center"/>
    </xf>
    <xf numFmtId="0" fontId="6" fillId="0" borderId="5" xfId="1" applyFont="1" applyBorder="1" applyAlignment="1" applyProtection="1">
      <alignment horizontal="left" vertical="center" wrapText="1" indent="1"/>
    </xf>
    <xf numFmtId="0" fontId="7" fillId="0" borderId="6" xfId="0" applyFont="1" applyBorder="1" applyAlignment="1">
      <alignment horizontal="left" vertical="center" indent="1"/>
    </xf>
    <xf numFmtId="0" fontId="7" fillId="0" borderId="7" xfId="0" applyFont="1" applyBorder="1" applyAlignment="1">
      <alignment horizontal="left" vertical="center" indent="1"/>
    </xf>
    <xf numFmtId="0" fontId="1" fillId="2" borderId="9" xfId="0" applyFont="1" applyFill="1" applyBorder="1" applyAlignment="1">
      <alignment vertical="center"/>
    </xf>
    <xf numFmtId="0" fontId="1" fillId="2" borderId="10" xfId="0" applyFont="1" applyFill="1" applyBorder="1" applyAlignment="1">
      <alignment vertical="center"/>
    </xf>
    <xf numFmtId="0" fontId="12" fillId="0" borderId="0" xfId="0" applyFont="1" applyAlignment="1">
      <alignment wrapText="1"/>
    </xf>
    <xf numFmtId="0" fontId="12" fillId="0" borderId="0" xfId="0" applyFont="1" applyAlignment="1">
      <alignment horizontal="left" vertical="top" wrapText="1"/>
    </xf>
    <xf numFmtId="0" fontId="12" fillId="0" borderId="0" xfId="0" applyFont="1" applyAlignment="1">
      <alignment vertical="center" wrapText="1"/>
    </xf>
    <xf numFmtId="0" fontId="9" fillId="11" borderId="16" xfId="0" applyNumberFormat="1" applyFont="1" applyFill="1" applyBorder="1" applyAlignment="1">
      <alignment horizontal="center" vertical="center"/>
    </xf>
    <xf numFmtId="0" fontId="15" fillId="9" borderId="35" xfId="2" applyFont="1" applyFill="1" applyBorder="1"/>
    <xf numFmtId="0" fontId="15" fillId="9" borderId="35" xfId="2" applyFont="1" applyFill="1" applyBorder="1" applyAlignment="1">
      <alignment horizontal="center"/>
    </xf>
  </cellXfs>
  <cellStyles count="4">
    <cellStyle name="Hyperlink" xfId="1" builtinId="8"/>
    <cellStyle name="Normal" xfId="0" builtinId="0"/>
    <cellStyle name="Normal 2" xfId="2"/>
    <cellStyle name="Normal_Fiche_Livraison_Evolution"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B1:M40"/>
  <sheetViews>
    <sheetView workbookViewId="0">
      <selection activeCell="E26" sqref="E26"/>
    </sheetView>
  </sheetViews>
  <sheetFormatPr defaultColWidth="11.42578125" defaultRowHeight="15" x14ac:dyDescent="0.25"/>
  <cols>
    <col min="1" max="1" width="2.42578125" customWidth="1"/>
    <col min="2" max="2" width="25" customWidth="1"/>
    <col min="3" max="3" width="38.5703125" bestFit="1" customWidth="1"/>
    <col min="4" max="4" width="19.42578125" customWidth="1"/>
    <col min="5" max="5" width="28.85546875" customWidth="1"/>
    <col min="6" max="6" width="11" bestFit="1" customWidth="1"/>
    <col min="7" max="7" width="78.28515625" bestFit="1" customWidth="1"/>
    <col min="11" max="11" width="44.140625" customWidth="1"/>
    <col min="13" max="13" width="48.140625" bestFit="1" customWidth="1"/>
  </cols>
  <sheetData>
    <row r="1" spans="2:7" ht="16.5" thickTop="1" thickBot="1" x14ac:dyDescent="0.3">
      <c r="B1" s="88" t="s">
        <v>0</v>
      </c>
      <c r="C1" s="89"/>
      <c r="D1" s="89"/>
      <c r="E1" s="89"/>
      <c r="F1" s="90"/>
    </row>
    <row r="2" spans="2:7" ht="15.75" thickBot="1" x14ac:dyDescent="0.3">
      <c r="B2" s="1" t="s">
        <v>1</v>
      </c>
      <c r="C2" s="91" t="s">
        <v>269</v>
      </c>
      <c r="D2" s="92"/>
      <c r="E2" s="92"/>
      <c r="F2" s="93"/>
    </row>
    <row r="3" spans="2:7" ht="15.75" thickBot="1" x14ac:dyDescent="0.3">
      <c r="B3" s="2" t="s">
        <v>2</v>
      </c>
      <c r="C3" s="91" t="s">
        <v>270</v>
      </c>
      <c r="D3" s="92"/>
      <c r="E3" s="92"/>
      <c r="F3" s="93"/>
    </row>
    <row r="4" spans="2:7" ht="15.75" thickBot="1" x14ac:dyDescent="0.3">
      <c r="B4" s="2" t="s">
        <v>3</v>
      </c>
      <c r="C4" s="85" t="s">
        <v>271</v>
      </c>
      <c r="D4" s="86"/>
      <c r="E4" s="86"/>
      <c r="F4" s="87"/>
    </row>
    <row r="5" spans="2:7" ht="15.75" thickBot="1" x14ac:dyDescent="0.3">
      <c r="B5" s="2" t="s">
        <v>4</v>
      </c>
      <c r="C5" s="85" t="s">
        <v>272</v>
      </c>
      <c r="D5" s="86"/>
      <c r="E5" s="86"/>
      <c r="F5" s="87"/>
    </row>
    <row r="6" spans="2:7" ht="15.75" thickBot="1" x14ac:dyDescent="0.3">
      <c r="B6" s="2" t="s">
        <v>5</v>
      </c>
      <c r="C6" s="85"/>
      <c r="D6" s="86"/>
      <c r="E6" s="86"/>
      <c r="F6" s="87"/>
    </row>
    <row r="7" spans="2:7" x14ac:dyDescent="0.25">
      <c r="B7" s="2" t="s">
        <v>6</v>
      </c>
      <c r="C7" s="105" t="s">
        <v>273</v>
      </c>
      <c r="D7" s="106"/>
      <c r="E7" s="106"/>
      <c r="F7" s="107"/>
    </row>
    <row r="8" spans="2:7" ht="15.75" thickBot="1" x14ac:dyDescent="0.3"/>
    <row r="9" spans="2:7" ht="15.75" thickBot="1" x14ac:dyDescent="0.3">
      <c r="B9" s="108" t="s">
        <v>7</v>
      </c>
      <c r="C9" s="109"/>
      <c r="D9" s="3"/>
      <c r="E9" s="3"/>
      <c r="F9" s="4"/>
    </row>
    <row r="10" spans="2:7" ht="15.75" thickBot="1" x14ac:dyDescent="0.3">
      <c r="B10" s="5" t="s">
        <v>8</v>
      </c>
      <c r="C10" s="6" t="s">
        <v>9</v>
      </c>
      <c r="D10" s="6" t="s">
        <v>10</v>
      </c>
      <c r="E10" s="6" t="s">
        <v>11</v>
      </c>
      <c r="F10" s="7" t="s">
        <v>12</v>
      </c>
    </row>
    <row r="11" spans="2:7" ht="15.75" thickBot="1" x14ac:dyDescent="0.3">
      <c r="B11" s="8" t="s">
        <v>13</v>
      </c>
      <c r="C11" s="9"/>
      <c r="D11" s="9"/>
      <c r="E11" s="10"/>
      <c r="F11" s="10"/>
    </row>
    <row r="12" spans="2:7" ht="15.75" thickBot="1" x14ac:dyDescent="0.3">
      <c r="B12" s="11" t="s">
        <v>14</v>
      </c>
      <c r="C12" s="77">
        <v>44287</v>
      </c>
      <c r="D12" s="77">
        <v>44287</v>
      </c>
      <c r="E12" s="65"/>
      <c r="F12" s="71"/>
    </row>
    <row r="13" spans="2:7" ht="15.75" thickBot="1" x14ac:dyDescent="0.3">
      <c r="B13" s="12" t="s">
        <v>15</v>
      </c>
      <c r="C13" s="9" t="s">
        <v>267</v>
      </c>
      <c r="D13" s="9" t="s">
        <v>268</v>
      </c>
      <c r="E13" s="66"/>
      <c r="F13" s="72"/>
      <c r="G13" s="73"/>
    </row>
    <row r="14" spans="2:7" ht="15.75" thickBot="1" x14ac:dyDescent="0.3">
      <c r="B14" s="11" t="s">
        <v>16</v>
      </c>
      <c r="C14" s="77">
        <v>44287</v>
      </c>
      <c r="D14" s="77">
        <v>44287</v>
      </c>
      <c r="E14" s="65"/>
      <c r="F14" s="70"/>
    </row>
    <row r="15" spans="2:7" ht="15.75" thickBot="1" x14ac:dyDescent="0.3">
      <c r="B15" s="13" t="s">
        <v>17</v>
      </c>
      <c r="C15" s="9" t="s">
        <v>267</v>
      </c>
      <c r="D15" s="9" t="s">
        <v>268</v>
      </c>
      <c r="E15" s="68"/>
      <c r="F15" s="69"/>
    </row>
    <row r="16" spans="2:7" ht="16.5" thickTop="1" thickBot="1" x14ac:dyDescent="0.3">
      <c r="D16" s="67"/>
    </row>
    <row r="17" spans="2:13" ht="15.75" thickBot="1" x14ac:dyDescent="0.3">
      <c r="B17" s="83" t="s">
        <v>18</v>
      </c>
      <c r="C17" s="84"/>
      <c r="D17" s="84"/>
      <c r="E17" s="84"/>
      <c r="F17" s="84"/>
      <c r="G17" s="84"/>
      <c r="H17" s="84"/>
      <c r="I17" s="84"/>
      <c r="J17" s="84"/>
    </row>
    <row r="18" spans="2:13" ht="15.75" thickBot="1" x14ac:dyDescent="0.3">
      <c r="B18" s="14" t="s">
        <v>19</v>
      </c>
      <c r="C18" s="14" t="s">
        <v>20</v>
      </c>
      <c r="D18" s="15" t="s">
        <v>21</v>
      </c>
      <c r="E18" s="15" t="s">
        <v>22</v>
      </c>
      <c r="F18" s="15" t="s">
        <v>23</v>
      </c>
      <c r="G18" s="15" t="s">
        <v>24</v>
      </c>
      <c r="H18" s="15" t="s">
        <v>25</v>
      </c>
      <c r="I18" s="16"/>
      <c r="J18" s="16"/>
      <c r="K18" s="17"/>
      <c r="L18" s="18" t="s">
        <v>26</v>
      </c>
      <c r="M18" s="18" t="s">
        <v>27</v>
      </c>
    </row>
    <row r="19" spans="2:13" ht="17.25" thickBot="1" x14ac:dyDescent="0.35">
      <c r="B19" s="9">
        <v>1</v>
      </c>
      <c r="C19" s="9" t="s">
        <v>274</v>
      </c>
      <c r="D19" s="9">
        <v>120.3</v>
      </c>
      <c r="E19" s="9" t="s">
        <v>147</v>
      </c>
      <c r="F19" s="64" t="str">
        <f>IF(ISNA(VLOOKUP(E19,Param!E:G,2,FALSE)),"",VLOOKUP(E19,Param!E:G,2,FALSE))</f>
        <v>.xml</v>
      </c>
      <c r="G19" s="64" t="str">
        <f>IF(ISNA(VLOOKUP(E19,Param!E:G,3,FALSE)),"",VLOOKUP(E19,Param!E:G,3,FALSE))</f>
        <v>@2&lt;!-- $HEADER$ --&gt;</v>
      </c>
      <c r="H19" s="94" t="s">
        <v>279</v>
      </c>
      <c r="I19" s="95"/>
      <c r="J19" s="95"/>
      <c r="K19" s="96"/>
      <c r="L19" s="9" t="s">
        <v>199</v>
      </c>
      <c r="M19" s="82" t="s">
        <v>282</v>
      </c>
    </row>
    <row r="20" spans="2:13" ht="17.25" thickBot="1" x14ac:dyDescent="0.35">
      <c r="B20" s="9">
        <v>2</v>
      </c>
      <c r="C20" s="9" t="s">
        <v>275</v>
      </c>
      <c r="D20" s="9">
        <v>120.3</v>
      </c>
      <c r="E20" s="9" t="s">
        <v>147</v>
      </c>
      <c r="F20" s="64" t="str">
        <f>IF(ISNA(VLOOKUP(E20,Param!E:G,2,FALSE)),"",VLOOKUP(E20,Param!E:G,2,FALSE))</f>
        <v>.xml</v>
      </c>
      <c r="G20" s="64" t="str">
        <f>IF(ISNA(VLOOKUP(E20,Param!E:G,3,FALSE)),"",VLOOKUP(E20,Param!E:G,3,FALSE))</f>
        <v>@2&lt;!-- $HEADER$ --&gt;</v>
      </c>
      <c r="H20" s="94" t="s">
        <v>279</v>
      </c>
      <c r="I20" s="95"/>
      <c r="J20" s="95"/>
      <c r="K20" s="96"/>
      <c r="L20" s="9" t="s">
        <v>199</v>
      </c>
      <c r="M20" s="82" t="s">
        <v>282</v>
      </c>
    </row>
    <row r="21" spans="2:13" ht="17.25" thickBot="1" x14ac:dyDescent="0.35">
      <c r="B21" s="9">
        <v>3</v>
      </c>
      <c r="C21" s="9" t="s">
        <v>276</v>
      </c>
      <c r="D21" s="9">
        <v>120.3</v>
      </c>
      <c r="E21" s="9" t="s">
        <v>147</v>
      </c>
      <c r="F21" s="64" t="str">
        <f>IF(ISNA(VLOOKUP(E21,Param!E:G,2,FALSE)),"",VLOOKUP(E21,Param!E:G,2,FALSE))</f>
        <v>.xml</v>
      </c>
      <c r="G21" s="64" t="str">
        <f>IF(ISNA(VLOOKUP(E21,Param!E:G,3,FALSE)),"",VLOOKUP(E21,Param!E:G,3,FALSE))</f>
        <v>@2&lt;!-- $HEADER$ --&gt;</v>
      </c>
      <c r="H21" s="94" t="s">
        <v>279</v>
      </c>
      <c r="I21" s="95"/>
      <c r="J21" s="95"/>
      <c r="K21" s="96"/>
      <c r="L21" s="9" t="s">
        <v>199</v>
      </c>
      <c r="M21" s="82" t="s">
        <v>282</v>
      </c>
    </row>
    <row r="22" spans="2:13" ht="17.25" thickBot="1" x14ac:dyDescent="0.35">
      <c r="B22" s="9">
        <v>4</v>
      </c>
      <c r="C22" s="74" t="s">
        <v>277</v>
      </c>
      <c r="D22" s="9">
        <v>120.3</v>
      </c>
      <c r="E22" s="9" t="s">
        <v>147</v>
      </c>
      <c r="F22" s="64" t="str">
        <f>IF(ISNA(VLOOKUP(E22,Param!E:G,2,FALSE)),"",VLOOKUP(E22,Param!E:G,2,FALSE))</f>
        <v>.xml</v>
      </c>
      <c r="G22" s="64" t="str">
        <f>IF(ISNA(VLOOKUP(E22,Param!E:G,3,FALSE)),"",VLOOKUP(E22,Param!E:G,3,FALSE))</f>
        <v>@2&lt;!-- $HEADER$ --&gt;</v>
      </c>
      <c r="H22" s="94" t="s">
        <v>279</v>
      </c>
      <c r="I22" s="95"/>
      <c r="J22" s="95"/>
      <c r="K22" s="96"/>
      <c r="L22" s="9" t="s">
        <v>199</v>
      </c>
      <c r="M22" s="82" t="s">
        <v>282</v>
      </c>
    </row>
    <row r="23" spans="2:13" ht="17.25" thickBot="1" x14ac:dyDescent="0.35">
      <c r="B23" s="9">
        <v>5</v>
      </c>
      <c r="C23" s="74" t="s">
        <v>278</v>
      </c>
      <c r="D23" s="9">
        <v>120.3</v>
      </c>
      <c r="E23" s="9" t="s">
        <v>147</v>
      </c>
      <c r="F23" s="64" t="str">
        <f>IF(ISNA(VLOOKUP(E23,Param!E:G,2,FALSE)),"",VLOOKUP(E23,Param!E:G,2,FALSE))</f>
        <v>.xml</v>
      </c>
      <c r="G23" s="64" t="str">
        <f>IF(ISNA(VLOOKUP(E23,Param!E:G,3,FALSE)),"",VLOOKUP(E23,Param!E:G,3,FALSE))</f>
        <v>@2&lt;!-- $HEADER$ --&gt;</v>
      </c>
      <c r="H23" s="94" t="s">
        <v>279</v>
      </c>
      <c r="I23" s="95"/>
      <c r="J23" s="95"/>
      <c r="K23" s="96"/>
      <c r="L23" s="9" t="s">
        <v>199</v>
      </c>
      <c r="M23" s="82" t="s">
        <v>282</v>
      </c>
    </row>
    <row r="24" spans="2:13" ht="17.25" thickBot="1" x14ac:dyDescent="0.35">
      <c r="B24" s="9">
        <v>6</v>
      </c>
      <c r="C24" s="74" t="s">
        <v>280</v>
      </c>
      <c r="D24" s="9" t="s">
        <v>281</v>
      </c>
      <c r="E24" s="9" t="s">
        <v>147</v>
      </c>
      <c r="F24" s="64" t="str">
        <f>IF(ISNA(VLOOKUP(E24,Param!E:G,2,FALSE)),"",VLOOKUP(E24,Param!E:G,2,FALSE))</f>
        <v>.xml</v>
      </c>
      <c r="G24" s="64" t="str">
        <f>IF(ISNA(VLOOKUP(E24,Param!E:G,3,FALSE)),"",VLOOKUP(E24,Param!E:G,3,FALSE))</f>
        <v>@2&lt;!-- $HEADER$ --&gt;</v>
      </c>
      <c r="H24" s="94" t="s">
        <v>279</v>
      </c>
      <c r="I24" s="95"/>
      <c r="J24" s="95"/>
      <c r="K24" s="96"/>
      <c r="L24" s="9" t="s">
        <v>199</v>
      </c>
      <c r="M24" s="82" t="s">
        <v>282</v>
      </c>
    </row>
    <row r="25" spans="2:13" ht="15.75" thickBot="1" x14ac:dyDescent="0.3">
      <c r="B25" s="9">
        <v>7</v>
      </c>
      <c r="C25" s="74" t="s">
        <v>283</v>
      </c>
      <c r="D25" s="9" t="s">
        <v>281</v>
      </c>
      <c r="E25" s="9" t="s">
        <v>245</v>
      </c>
      <c r="F25" s="64" t="str">
        <f>IF(ISNA(VLOOKUP(E25,Param!E:G,2,FALSE)),"",VLOOKUP(E25,Param!E:G,2,FALSE))</f>
        <v>.sql_exec</v>
      </c>
      <c r="G25" s="64" t="str">
        <f>IF(ISNA(VLOOKUP(E25,Param!E:G,3,FALSE)),"",VLOOKUP(E25,Param!E:G,3,FALSE))</f>
        <v>REM $Header: XXST_ACCESS_UPLOAD.sql_exec 1 2017-09-25 M.TIGNON $</v>
      </c>
      <c r="H25" s="94" t="s">
        <v>284</v>
      </c>
      <c r="I25" s="95"/>
      <c r="J25" s="95"/>
      <c r="K25" s="96"/>
      <c r="L25" s="9" t="s">
        <v>199</v>
      </c>
      <c r="M25" s="9" t="s">
        <v>285</v>
      </c>
    </row>
    <row r="26" spans="2:13" ht="15.75" thickBot="1" x14ac:dyDescent="0.3">
      <c r="B26" s="9">
        <v>8</v>
      </c>
      <c r="C26" s="113" t="s">
        <v>286</v>
      </c>
      <c r="D26" s="9" t="s">
        <v>281</v>
      </c>
      <c r="E26" s="9"/>
      <c r="F26" s="64" t="str">
        <f>IF(ISNA(VLOOKUP(E26,Param!E:G,2,FALSE)),"",VLOOKUP(E26,Param!E:G,2,FALSE))</f>
        <v/>
      </c>
      <c r="G26" s="64" t="str">
        <f>IF(ISNA(VLOOKUP(E26,Param!E:G,3,FALSE)),"",VLOOKUP(E26,Param!E:G,3,FALSE))</f>
        <v/>
      </c>
      <c r="H26" s="94"/>
      <c r="I26" s="95"/>
      <c r="J26" s="95"/>
      <c r="K26" s="96"/>
      <c r="L26" s="9"/>
      <c r="M26" s="9"/>
    </row>
    <row r="27" spans="2:13" ht="15.75" thickBot="1" x14ac:dyDescent="0.3">
      <c r="B27" s="9"/>
      <c r="C27" s="74"/>
      <c r="D27" s="9"/>
      <c r="E27" s="9"/>
      <c r="F27" s="64" t="str">
        <f>IF(ISNA(VLOOKUP(E27,Param!E:G,2,FALSE)),"",VLOOKUP(E27,Param!E:G,2,FALSE))</f>
        <v/>
      </c>
      <c r="G27" s="64" t="str">
        <f>IF(ISNA(VLOOKUP(E27,Param!E:G,3,FALSE)),"",VLOOKUP(E27,Param!E:G,3,FALSE))</f>
        <v/>
      </c>
      <c r="H27" s="94"/>
      <c r="I27" s="95"/>
      <c r="J27" s="95"/>
      <c r="K27" s="96"/>
      <c r="L27" s="9"/>
      <c r="M27" s="9"/>
    </row>
    <row r="28" spans="2:13" ht="15.75" thickBot="1" x14ac:dyDescent="0.3">
      <c r="B28" s="9"/>
      <c r="C28" s="74"/>
      <c r="D28" s="9"/>
      <c r="E28" s="9"/>
      <c r="F28" s="64" t="str">
        <f>IF(ISNA(VLOOKUP(E28,Param!E:G,2,FALSE)),"",VLOOKUP(E28,Param!E:G,2,FALSE))</f>
        <v/>
      </c>
      <c r="G28" s="64" t="str">
        <f>IF(ISNA(VLOOKUP(E28,Param!E:G,3,FALSE)),"",VLOOKUP(E28,Param!E:G,3,FALSE))</f>
        <v/>
      </c>
      <c r="H28" s="94"/>
      <c r="I28" s="95"/>
      <c r="J28" s="95"/>
      <c r="K28" s="96"/>
      <c r="L28" s="9"/>
      <c r="M28" s="9"/>
    </row>
    <row r="29" spans="2:13" ht="15.75" thickBot="1" x14ac:dyDescent="0.3">
      <c r="C29" s="75"/>
    </row>
    <row r="30" spans="2:13" ht="16.5" thickTop="1" thickBot="1" x14ac:dyDescent="0.3">
      <c r="B30" s="97" t="s">
        <v>31</v>
      </c>
      <c r="C30" s="98"/>
      <c r="D30" s="99"/>
      <c r="E30" s="99"/>
      <c r="F30" s="100"/>
    </row>
    <row r="31" spans="2:13" ht="110.25" customHeight="1" thickBot="1" x14ac:dyDescent="0.3">
      <c r="B31" s="101"/>
      <c r="C31" s="102"/>
      <c r="D31" s="103"/>
      <c r="E31" s="103"/>
      <c r="F31" s="104"/>
    </row>
    <row r="32" spans="2:13" x14ac:dyDescent="0.25">
      <c r="C32" s="75"/>
    </row>
    <row r="33" spans="3:3" x14ac:dyDescent="0.25">
      <c r="C33" s="75"/>
    </row>
    <row r="34" spans="3:3" x14ac:dyDescent="0.25">
      <c r="C34" s="75"/>
    </row>
    <row r="35" spans="3:3" x14ac:dyDescent="0.25">
      <c r="C35" s="75"/>
    </row>
    <row r="36" spans="3:3" x14ac:dyDescent="0.25">
      <c r="C36" s="75"/>
    </row>
    <row r="37" spans="3:3" x14ac:dyDescent="0.25">
      <c r="C37" s="75"/>
    </row>
    <row r="38" spans="3:3" x14ac:dyDescent="0.25">
      <c r="C38" s="75"/>
    </row>
    <row r="39" spans="3:3" x14ac:dyDescent="0.25">
      <c r="C39" s="75"/>
    </row>
    <row r="40" spans="3:3" x14ac:dyDescent="0.25">
      <c r="C40" s="75"/>
    </row>
  </sheetData>
  <mergeCells count="21">
    <mergeCell ref="H28:K28"/>
    <mergeCell ref="B30:F30"/>
    <mergeCell ref="B31:F31"/>
    <mergeCell ref="C7:F7"/>
    <mergeCell ref="B9:C9"/>
    <mergeCell ref="H19:K19"/>
    <mergeCell ref="H26:K26"/>
    <mergeCell ref="H27:K27"/>
    <mergeCell ref="H22:K22"/>
    <mergeCell ref="H23:K23"/>
    <mergeCell ref="H24:K24"/>
    <mergeCell ref="H25:K25"/>
    <mergeCell ref="H20:K20"/>
    <mergeCell ref="H21:K21"/>
    <mergeCell ref="B17:J17"/>
    <mergeCell ref="C6:F6"/>
    <mergeCell ref="B1:F1"/>
    <mergeCell ref="C2:F2"/>
    <mergeCell ref="C3:F3"/>
    <mergeCell ref="C4:F4"/>
    <mergeCell ref="C5:F5"/>
  </mergeCells>
  <dataValidations count="2">
    <dataValidation type="list" allowBlank="1" showInputMessage="1" showErrorMessage="1" sqref="M25:M28 L19:L28">
      <formula1>status</formula1>
    </dataValidation>
    <dataValidation type="list" allowBlank="1" showInputMessage="1" showErrorMessage="1" sqref="E19:E28">
      <formula1>description</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2:C40"/>
  <sheetViews>
    <sheetView workbookViewId="0">
      <selection activeCell="C8" sqref="C8"/>
    </sheetView>
  </sheetViews>
  <sheetFormatPr defaultColWidth="11.42578125" defaultRowHeight="15" x14ac:dyDescent="0.25"/>
  <cols>
    <col min="4" max="4" width="33.28515625" bestFit="1" customWidth="1"/>
  </cols>
  <sheetData>
    <row r="2" spans="1:3" x14ac:dyDescent="0.25">
      <c r="A2" s="78"/>
      <c r="B2" s="79"/>
      <c r="C2" s="80"/>
    </row>
    <row r="3" spans="1:3" x14ac:dyDescent="0.25">
      <c r="A3" s="78"/>
      <c r="B3" s="79"/>
      <c r="C3" s="80"/>
    </row>
    <row r="4" spans="1:3" x14ac:dyDescent="0.25">
      <c r="A4" s="78"/>
      <c r="B4" s="79"/>
      <c r="C4" s="80"/>
    </row>
    <row r="5" spans="1:3" x14ac:dyDescent="0.25">
      <c r="A5" s="78"/>
      <c r="B5" s="79"/>
      <c r="C5" s="80"/>
    </row>
    <row r="6" spans="1:3" x14ac:dyDescent="0.25">
      <c r="A6" s="78"/>
      <c r="B6" s="79"/>
      <c r="C6" s="80"/>
    </row>
    <row r="7" spans="1:3" x14ac:dyDescent="0.25">
      <c r="A7" s="78"/>
      <c r="B7" s="79"/>
      <c r="C7" s="80"/>
    </row>
    <row r="8" spans="1:3" x14ac:dyDescent="0.25">
      <c r="A8" s="78"/>
      <c r="B8" s="79"/>
      <c r="C8" s="80"/>
    </row>
    <row r="9" spans="1:3" x14ac:dyDescent="0.25">
      <c r="A9" s="78"/>
      <c r="B9" s="79"/>
      <c r="C9" s="80"/>
    </row>
    <row r="10" spans="1:3" x14ac:dyDescent="0.25">
      <c r="A10" s="78"/>
      <c r="B10" s="79"/>
      <c r="C10" s="80"/>
    </row>
    <row r="11" spans="1:3" x14ac:dyDescent="0.25">
      <c r="A11" s="78"/>
      <c r="B11" s="79"/>
      <c r="C11" s="80"/>
    </row>
    <row r="12" spans="1:3" x14ac:dyDescent="0.25">
      <c r="A12" s="78"/>
      <c r="B12" s="79"/>
    </row>
    <row r="13" spans="1:3" x14ac:dyDescent="0.25">
      <c r="A13" s="78"/>
      <c r="B13" s="79"/>
    </row>
    <row r="22" spans="3:3" x14ac:dyDescent="0.25">
      <c r="C22" s="75"/>
    </row>
    <row r="23" spans="3:3" x14ac:dyDescent="0.25">
      <c r="C23" s="75"/>
    </row>
    <row r="24" spans="3:3" x14ac:dyDescent="0.25">
      <c r="C24" s="75"/>
    </row>
    <row r="25" spans="3:3" x14ac:dyDescent="0.25">
      <c r="C25" s="75"/>
    </row>
    <row r="26" spans="3:3" x14ac:dyDescent="0.25">
      <c r="C26" s="75"/>
    </row>
    <row r="27" spans="3:3" x14ac:dyDescent="0.25">
      <c r="C27" s="75"/>
    </row>
    <row r="28" spans="3:3" x14ac:dyDescent="0.25">
      <c r="C28" s="75"/>
    </row>
    <row r="29" spans="3:3" x14ac:dyDescent="0.25">
      <c r="C29" s="75"/>
    </row>
    <row r="30" spans="3:3" x14ac:dyDescent="0.25">
      <c r="C30" s="75"/>
    </row>
    <row r="31" spans="3:3" x14ac:dyDescent="0.25">
      <c r="C31" s="75"/>
    </row>
    <row r="32" spans="3:3" x14ac:dyDescent="0.25">
      <c r="C32" s="75"/>
    </row>
    <row r="33" spans="3:3" x14ac:dyDescent="0.25">
      <c r="C33" s="75"/>
    </row>
    <row r="34" spans="3:3" x14ac:dyDescent="0.25">
      <c r="C34" s="75"/>
    </row>
    <row r="35" spans="3:3" x14ac:dyDescent="0.25">
      <c r="C35" s="75"/>
    </row>
    <row r="36" spans="3:3" x14ac:dyDescent="0.25">
      <c r="C36" s="75"/>
    </row>
    <row r="37" spans="3:3" x14ac:dyDescent="0.25">
      <c r="C37" s="75"/>
    </row>
    <row r="38" spans="3:3" x14ac:dyDescent="0.25">
      <c r="C38" s="75"/>
    </row>
    <row r="39" spans="3:3" x14ac:dyDescent="0.25">
      <c r="C39" s="75"/>
    </row>
    <row r="40" spans="3:3" x14ac:dyDescent="0.25">
      <c r="C40" s="7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N128"/>
  <sheetViews>
    <sheetView topLeftCell="A103" workbookViewId="0">
      <selection activeCell="C8" sqref="C8"/>
    </sheetView>
  </sheetViews>
  <sheetFormatPr defaultColWidth="11.42578125" defaultRowHeight="15" x14ac:dyDescent="0.25"/>
  <cols>
    <col min="1" max="1" width="48" style="30" customWidth="1"/>
    <col min="2" max="3" width="11.42578125" style="27"/>
    <col min="4" max="4" width="11.42578125" style="28"/>
    <col min="5" max="5" width="11.42578125" style="27"/>
    <col min="6" max="6" width="11.42578125" style="28"/>
    <col min="7" max="9" width="11.42578125" style="29"/>
    <col min="11" max="13" width="11.42578125" style="29"/>
    <col min="14" max="14" width="11.42578125" style="30"/>
    <col min="15" max="16384" width="11.42578125" style="29"/>
  </cols>
  <sheetData>
    <row r="1" spans="1:14" x14ac:dyDescent="0.25">
      <c r="A1" s="26" t="s">
        <v>32</v>
      </c>
    </row>
    <row r="2" spans="1:14" s="33" customFormat="1" x14ac:dyDescent="0.25">
      <c r="A2" t="s">
        <v>33</v>
      </c>
      <c r="B2" s="31"/>
      <c r="C2" s="31"/>
      <c r="D2" s="32"/>
      <c r="E2" s="31"/>
      <c r="F2" s="32"/>
      <c r="J2" s="34"/>
      <c r="N2" s="35"/>
    </row>
    <row r="3" spans="1:14" s="33" customFormat="1" ht="12.75" x14ac:dyDescent="0.2">
      <c r="A3" s="35" t="s">
        <v>34</v>
      </c>
      <c r="B3" s="31"/>
      <c r="C3" s="31"/>
      <c r="D3" s="32"/>
      <c r="E3" s="31"/>
      <c r="F3" s="32"/>
      <c r="J3" s="34"/>
      <c r="N3" s="35"/>
    </row>
    <row r="4" spans="1:14" s="33" customFormat="1" ht="12.75" x14ac:dyDescent="0.2">
      <c r="A4" s="35" t="s">
        <v>35</v>
      </c>
      <c r="B4" s="31"/>
      <c r="C4" s="31"/>
      <c r="D4" s="32"/>
      <c r="E4" s="31"/>
      <c r="F4" s="32"/>
      <c r="J4" s="34"/>
      <c r="N4" s="35"/>
    </row>
    <row r="5" spans="1:14" x14ac:dyDescent="0.25">
      <c r="A5" s="35" t="s">
        <v>36</v>
      </c>
    </row>
    <row r="6" spans="1:14" x14ac:dyDescent="0.25">
      <c r="A6" s="26" t="s">
        <v>37</v>
      </c>
    </row>
    <row r="7" spans="1:14" x14ac:dyDescent="0.25">
      <c r="A7" s="36" t="s">
        <v>38</v>
      </c>
    </row>
    <row r="8" spans="1:14" x14ac:dyDescent="0.25">
      <c r="A8" s="36" t="s">
        <v>39</v>
      </c>
    </row>
    <row r="9" spans="1:14" x14ac:dyDescent="0.25">
      <c r="A9" s="36" t="s">
        <v>40</v>
      </c>
    </row>
    <row r="10" spans="1:14" x14ac:dyDescent="0.25">
      <c r="A10" s="36" t="s">
        <v>41</v>
      </c>
    </row>
    <row r="11" spans="1:14" x14ac:dyDescent="0.25">
      <c r="A11" s="36" t="s">
        <v>42</v>
      </c>
    </row>
    <row r="12" spans="1:14" x14ac:dyDescent="0.25">
      <c r="A12" s="36" t="s">
        <v>43</v>
      </c>
    </row>
    <row r="13" spans="1:14" x14ac:dyDescent="0.25">
      <c r="A13" s="36" t="s">
        <v>44</v>
      </c>
    </row>
    <row r="14" spans="1:14" x14ac:dyDescent="0.25">
      <c r="A14" s="36" t="s">
        <v>45</v>
      </c>
    </row>
    <row r="16" spans="1:14" x14ac:dyDescent="0.25">
      <c r="A16" s="37" t="s">
        <v>33</v>
      </c>
      <c r="B16" s="38"/>
      <c r="C16" s="38"/>
    </row>
    <row r="17" spans="1:2" x14ac:dyDescent="0.25">
      <c r="A17" s="39" t="s">
        <v>46</v>
      </c>
    </row>
    <row r="18" spans="1:2" x14ac:dyDescent="0.25">
      <c r="A18" s="28" t="s">
        <v>47</v>
      </c>
    </row>
    <row r="19" spans="1:2" x14ac:dyDescent="0.25">
      <c r="A19" s="28" t="s">
        <v>48</v>
      </c>
    </row>
    <row r="20" spans="1:2" x14ac:dyDescent="0.25">
      <c r="A20" s="28" t="s">
        <v>49</v>
      </c>
    </row>
    <row r="21" spans="1:2" x14ac:dyDescent="0.25">
      <c r="A21" s="28" t="s">
        <v>50</v>
      </c>
    </row>
    <row r="22" spans="1:2" x14ac:dyDescent="0.25">
      <c r="A22" s="28" t="s">
        <v>51</v>
      </c>
      <c r="B22" s="40"/>
    </row>
    <row r="23" spans="1:2" x14ac:dyDescent="0.25">
      <c r="A23" s="28" t="s">
        <v>52</v>
      </c>
      <c r="B23" s="40"/>
    </row>
    <row r="24" spans="1:2" x14ac:dyDescent="0.25">
      <c r="A24" s="41" t="s">
        <v>53</v>
      </c>
      <c r="B24" s="40"/>
    </row>
    <row r="25" spans="1:2" x14ac:dyDescent="0.25">
      <c r="A25" s="28" t="s">
        <v>54</v>
      </c>
      <c r="B25" s="40"/>
    </row>
    <row r="26" spans="1:2" x14ac:dyDescent="0.25">
      <c r="A26" s="28" t="s">
        <v>55</v>
      </c>
      <c r="B26" s="40"/>
    </row>
    <row r="27" spans="1:2" x14ac:dyDescent="0.25">
      <c r="A27" s="28" t="s">
        <v>56</v>
      </c>
      <c r="B27" s="40"/>
    </row>
    <row r="28" spans="1:2" x14ac:dyDescent="0.25">
      <c r="A28" s="28" t="s">
        <v>57</v>
      </c>
      <c r="B28" s="40"/>
    </row>
    <row r="29" spans="1:2" x14ac:dyDescent="0.25">
      <c r="A29" s="28" t="s">
        <v>58</v>
      </c>
      <c r="B29" s="40"/>
    </row>
    <row r="30" spans="1:2" x14ac:dyDescent="0.25">
      <c r="A30" s="28" t="s">
        <v>59</v>
      </c>
      <c r="B30" s="40"/>
    </row>
    <row r="31" spans="1:2" x14ac:dyDescent="0.25">
      <c r="A31" s="28" t="s">
        <v>60</v>
      </c>
      <c r="B31" s="40"/>
    </row>
    <row r="32" spans="1:2" x14ac:dyDescent="0.25">
      <c r="B32" s="40"/>
    </row>
    <row r="33" spans="1:4" x14ac:dyDescent="0.25">
      <c r="A33" s="42" t="s">
        <v>34</v>
      </c>
      <c r="B33" s="43"/>
      <c r="C33" s="38"/>
      <c r="D33" s="44"/>
    </row>
    <row r="34" spans="1:4" x14ac:dyDescent="0.25">
      <c r="A34" s="45" t="s">
        <v>61</v>
      </c>
      <c r="B34" s="46"/>
    </row>
    <row r="35" spans="1:4" x14ac:dyDescent="0.25">
      <c r="A35" s="45" t="s">
        <v>62</v>
      </c>
      <c r="B35" s="46"/>
    </row>
    <row r="36" spans="1:4" x14ac:dyDescent="0.25">
      <c r="A36" s="45" t="s">
        <v>63</v>
      </c>
      <c r="B36" s="47"/>
    </row>
    <row r="37" spans="1:4" x14ac:dyDescent="0.25">
      <c r="B37" s="40"/>
    </row>
    <row r="38" spans="1:4" x14ac:dyDescent="0.25">
      <c r="A38" s="42" t="s">
        <v>35</v>
      </c>
      <c r="B38" s="43"/>
      <c r="C38" s="38"/>
      <c r="D38" s="44"/>
    </row>
    <row r="39" spans="1:4" x14ac:dyDescent="0.25">
      <c r="A39" s="45" t="s">
        <v>61</v>
      </c>
      <c r="B39" s="47"/>
    </row>
    <row r="40" spans="1:4" x14ac:dyDescent="0.25">
      <c r="A40" s="45" t="s">
        <v>62</v>
      </c>
      <c r="B40" s="46"/>
    </row>
    <row r="41" spans="1:4" x14ac:dyDescent="0.25">
      <c r="A41" s="45" t="s">
        <v>63</v>
      </c>
      <c r="B41" s="48"/>
    </row>
    <row r="42" spans="1:4" x14ac:dyDescent="0.25">
      <c r="A42" s="45" t="s">
        <v>64</v>
      </c>
      <c r="B42" s="30"/>
    </row>
    <row r="43" spans="1:4" x14ac:dyDescent="0.25">
      <c r="A43" s="45" t="s">
        <v>65</v>
      </c>
      <c r="B43" s="30"/>
    </row>
    <row r="44" spans="1:4" x14ac:dyDescent="0.25">
      <c r="A44" s="45" t="s">
        <v>66</v>
      </c>
      <c r="B44" s="30"/>
    </row>
    <row r="45" spans="1:4" x14ac:dyDescent="0.25">
      <c r="A45" s="45" t="s">
        <v>67</v>
      </c>
      <c r="B45" s="30"/>
    </row>
    <row r="46" spans="1:4" x14ac:dyDescent="0.25">
      <c r="A46" s="45" t="s">
        <v>68</v>
      </c>
      <c r="B46" s="30"/>
    </row>
    <row r="47" spans="1:4" x14ac:dyDescent="0.25">
      <c r="A47" s="45" t="s">
        <v>69</v>
      </c>
      <c r="B47" s="30"/>
    </row>
    <row r="49" spans="1:12" x14ac:dyDescent="0.25">
      <c r="A49" s="42" t="s">
        <v>36</v>
      </c>
      <c r="B49" s="38"/>
      <c r="D49" s="30"/>
      <c r="F49" s="30"/>
    </row>
    <row r="50" spans="1:12" ht="12.75" x14ac:dyDescent="0.25">
      <c r="A50" s="49" t="s">
        <v>70</v>
      </c>
      <c r="B50" s="50" t="s">
        <v>71</v>
      </c>
      <c r="C50" s="50" t="s">
        <v>72</v>
      </c>
      <c r="D50" s="51"/>
      <c r="E50" s="52"/>
      <c r="F50" s="51"/>
      <c r="G50" s="53"/>
      <c r="H50" s="53"/>
      <c r="I50" s="54"/>
      <c r="J50" s="55" t="s">
        <v>73</v>
      </c>
      <c r="K50" s="53"/>
      <c r="L50" s="54"/>
    </row>
    <row r="51" spans="1:12" ht="12.75" x14ac:dyDescent="0.25">
      <c r="A51" s="49" t="s">
        <v>74</v>
      </c>
      <c r="B51" s="50" t="s">
        <v>75</v>
      </c>
      <c r="C51" s="50" t="s">
        <v>76</v>
      </c>
      <c r="D51" s="51"/>
      <c r="E51" s="52"/>
      <c r="F51" s="51"/>
      <c r="G51" s="53"/>
      <c r="H51" s="53"/>
      <c r="I51" s="54"/>
      <c r="J51" s="50" t="s">
        <v>77</v>
      </c>
      <c r="K51" s="53"/>
      <c r="L51" s="54"/>
    </row>
    <row r="52" spans="1:12" ht="12.75" x14ac:dyDescent="0.25">
      <c r="A52" s="49" t="s">
        <v>78</v>
      </c>
      <c r="B52" s="50" t="s">
        <v>79</v>
      </c>
      <c r="C52" s="50" t="s">
        <v>80</v>
      </c>
      <c r="D52" s="51"/>
      <c r="E52" s="52"/>
      <c r="F52" s="51"/>
      <c r="G52" s="53"/>
      <c r="H52" s="53"/>
      <c r="I52" s="54"/>
      <c r="J52" s="50" t="s">
        <v>81</v>
      </c>
      <c r="K52" s="53"/>
      <c r="L52" s="54"/>
    </row>
    <row r="53" spans="1:12" ht="12.75" x14ac:dyDescent="0.25">
      <c r="A53" s="49" t="s">
        <v>82</v>
      </c>
      <c r="B53" s="56" t="s">
        <v>83</v>
      </c>
      <c r="C53" s="50" t="s">
        <v>84</v>
      </c>
      <c r="D53" s="51"/>
      <c r="E53" s="52"/>
      <c r="F53" s="51"/>
      <c r="G53" s="53"/>
      <c r="H53" s="53"/>
      <c r="I53" s="54"/>
      <c r="J53" s="50" t="s">
        <v>85</v>
      </c>
      <c r="K53" s="53"/>
      <c r="L53" s="54"/>
    </row>
    <row r="54" spans="1:12" ht="12.75" x14ac:dyDescent="0.25">
      <c r="A54" s="49" t="s">
        <v>86</v>
      </c>
      <c r="B54" s="50" t="s">
        <v>87</v>
      </c>
      <c r="C54" s="50" t="s">
        <v>88</v>
      </c>
      <c r="D54" s="51"/>
      <c r="E54" s="52"/>
      <c r="F54" s="51"/>
      <c r="G54" s="53"/>
      <c r="H54" s="53"/>
      <c r="I54" s="54"/>
      <c r="J54" s="50" t="s">
        <v>85</v>
      </c>
      <c r="K54" s="53"/>
      <c r="L54" s="54"/>
    </row>
    <row r="55" spans="1:12" ht="12.75" x14ac:dyDescent="0.25">
      <c r="A55" s="49" t="s">
        <v>89</v>
      </c>
      <c r="B55" s="50" t="s">
        <v>90</v>
      </c>
      <c r="C55" s="50" t="s">
        <v>91</v>
      </c>
      <c r="D55" s="51"/>
      <c r="E55" s="52"/>
      <c r="F55" s="51"/>
      <c r="G55" s="53"/>
      <c r="H55" s="53"/>
      <c r="I55" s="54"/>
      <c r="J55" s="50" t="s">
        <v>85</v>
      </c>
      <c r="K55" s="53"/>
      <c r="L55" s="54"/>
    </row>
    <row r="56" spans="1:12" ht="12.75" x14ac:dyDescent="0.25">
      <c r="A56" s="49" t="s">
        <v>92</v>
      </c>
      <c r="B56" s="50" t="s">
        <v>93</v>
      </c>
      <c r="C56" s="50" t="s">
        <v>94</v>
      </c>
      <c r="D56" s="51"/>
      <c r="E56" s="52"/>
      <c r="F56" s="51"/>
      <c r="G56" s="53"/>
      <c r="H56" s="53"/>
      <c r="I56" s="54"/>
      <c r="J56" s="50" t="s">
        <v>85</v>
      </c>
      <c r="K56" s="53"/>
      <c r="L56" s="54"/>
    </row>
    <row r="57" spans="1:12" ht="12.75" x14ac:dyDescent="0.25">
      <c r="A57" s="49" t="s">
        <v>95</v>
      </c>
      <c r="B57" s="50" t="s">
        <v>96</v>
      </c>
      <c r="C57" s="50" t="s">
        <v>97</v>
      </c>
      <c r="D57" s="51"/>
      <c r="E57" s="52"/>
      <c r="F57" s="51"/>
      <c r="G57" s="53"/>
      <c r="H57" s="53"/>
      <c r="I57" s="54"/>
      <c r="J57" s="50" t="s">
        <v>98</v>
      </c>
      <c r="K57" s="53"/>
      <c r="L57" s="54"/>
    </row>
    <row r="58" spans="1:12" ht="12.75" x14ac:dyDescent="0.25">
      <c r="A58" s="49" t="s">
        <v>99</v>
      </c>
      <c r="B58" s="57" t="s">
        <v>75</v>
      </c>
      <c r="C58" s="50" t="s">
        <v>100</v>
      </c>
      <c r="D58" s="51"/>
      <c r="E58" s="52"/>
      <c r="F58" s="51"/>
      <c r="G58" s="53"/>
      <c r="H58" s="53"/>
      <c r="I58" s="54"/>
      <c r="J58" s="50" t="s">
        <v>85</v>
      </c>
      <c r="K58" s="53"/>
      <c r="L58" s="54"/>
    </row>
    <row r="59" spans="1:12" ht="12.75" x14ac:dyDescent="0.25">
      <c r="A59" s="49" t="s">
        <v>101</v>
      </c>
      <c r="B59" s="50" t="s">
        <v>79</v>
      </c>
      <c r="C59" s="50" t="s">
        <v>102</v>
      </c>
      <c r="D59" s="51"/>
      <c r="E59" s="52"/>
      <c r="F59" s="51"/>
      <c r="G59" s="53"/>
      <c r="H59" s="53"/>
      <c r="I59" s="54"/>
      <c r="J59" s="50" t="s">
        <v>103</v>
      </c>
      <c r="K59" s="53"/>
      <c r="L59" s="54"/>
    </row>
    <row r="60" spans="1:12" ht="12.75" x14ac:dyDescent="0.25">
      <c r="A60" s="49" t="s">
        <v>104</v>
      </c>
      <c r="B60" s="50" t="s">
        <v>87</v>
      </c>
      <c r="C60" s="50" t="s">
        <v>88</v>
      </c>
      <c r="D60" s="51"/>
      <c r="E60" s="52"/>
      <c r="F60" s="51"/>
      <c r="G60" s="53"/>
      <c r="H60" s="53"/>
      <c r="I60" s="54"/>
      <c r="J60" s="50" t="s">
        <v>85</v>
      </c>
      <c r="K60" s="53"/>
      <c r="L60" s="54"/>
    </row>
    <row r="61" spans="1:12" ht="12.75" x14ac:dyDescent="0.25">
      <c r="A61" s="49" t="s">
        <v>105</v>
      </c>
      <c r="B61" s="50" t="s">
        <v>106</v>
      </c>
      <c r="C61" s="50" t="s">
        <v>107</v>
      </c>
      <c r="D61" s="51"/>
      <c r="E61" s="52"/>
      <c r="F61" s="51"/>
      <c r="G61" s="53"/>
      <c r="H61" s="53"/>
      <c r="I61" s="54"/>
      <c r="J61" s="50" t="s">
        <v>85</v>
      </c>
      <c r="K61" s="53"/>
      <c r="L61" s="54"/>
    </row>
    <row r="62" spans="1:12" ht="12.75" x14ac:dyDescent="0.25">
      <c r="A62" s="49" t="s">
        <v>108</v>
      </c>
      <c r="B62" s="50" t="s">
        <v>96</v>
      </c>
      <c r="C62" s="50" t="s">
        <v>109</v>
      </c>
      <c r="D62" s="51"/>
      <c r="E62" s="52"/>
      <c r="F62" s="51"/>
      <c r="G62" s="53"/>
      <c r="H62" s="53"/>
      <c r="I62" s="54"/>
      <c r="J62" s="50" t="s">
        <v>85</v>
      </c>
      <c r="K62" s="53"/>
      <c r="L62" s="54"/>
    </row>
    <row r="63" spans="1:12" ht="12.75" x14ac:dyDescent="0.25">
      <c r="A63" s="49" t="s">
        <v>110</v>
      </c>
      <c r="B63" s="50" t="s">
        <v>87</v>
      </c>
      <c r="C63" s="50" t="s">
        <v>111</v>
      </c>
      <c r="D63" s="51"/>
      <c r="E63" s="52"/>
      <c r="F63" s="51"/>
      <c r="G63" s="53"/>
      <c r="H63" s="53"/>
      <c r="I63" s="54"/>
      <c r="J63" s="50" t="s">
        <v>112</v>
      </c>
      <c r="K63" s="53"/>
      <c r="L63" s="54"/>
    </row>
    <row r="64" spans="1:12" ht="12.75" x14ac:dyDescent="0.25">
      <c r="A64" s="49" t="s">
        <v>113</v>
      </c>
      <c r="B64" s="50" t="s">
        <v>114</v>
      </c>
      <c r="C64" s="50" t="s">
        <v>115</v>
      </c>
      <c r="D64" s="51"/>
      <c r="E64" s="52"/>
      <c r="F64" s="51"/>
      <c r="G64" s="53"/>
      <c r="H64" s="53"/>
      <c r="I64" s="54"/>
      <c r="J64" s="50" t="s">
        <v>85</v>
      </c>
      <c r="K64" s="53"/>
      <c r="L64" s="54"/>
    </row>
    <row r="65" spans="1:12" ht="12.75" x14ac:dyDescent="0.25">
      <c r="A65" s="49" t="s">
        <v>28</v>
      </c>
      <c r="B65" s="50" t="s">
        <v>116</v>
      </c>
      <c r="C65" s="50" t="s">
        <v>117</v>
      </c>
      <c r="D65" s="51"/>
      <c r="E65" s="52"/>
      <c r="F65" s="51"/>
      <c r="G65" s="53"/>
      <c r="H65" s="53"/>
      <c r="I65" s="54"/>
      <c r="J65" s="50" t="s">
        <v>85</v>
      </c>
      <c r="K65" s="53"/>
      <c r="L65" s="54"/>
    </row>
    <row r="66" spans="1:12" ht="12.75" x14ac:dyDescent="0.25">
      <c r="A66" s="49" t="s">
        <v>118</v>
      </c>
      <c r="B66" s="50" t="s">
        <v>119</v>
      </c>
      <c r="C66" s="50" t="s">
        <v>120</v>
      </c>
      <c r="D66" s="51"/>
      <c r="E66" s="52"/>
      <c r="F66" s="51"/>
      <c r="G66" s="53"/>
      <c r="H66" s="53"/>
      <c r="I66" s="54"/>
      <c r="J66" s="50" t="s">
        <v>85</v>
      </c>
      <c r="K66" s="53"/>
      <c r="L66" s="54"/>
    </row>
    <row r="67" spans="1:12" ht="12.75" x14ac:dyDescent="0.25">
      <c r="A67" s="45" t="s">
        <v>121</v>
      </c>
      <c r="B67" s="57" t="s">
        <v>122</v>
      </c>
      <c r="C67" s="57" t="s">
        <v>123</v>
      </c>
      <c r="D67" s="51"/>
      <c r="E67" s="52"/>
      <c r="F67" s="51"/>
      <c r="G67" s="53"/>
      <c r="H67" s="53"/>
      <c r="I67" s="54"/>
      <c r="J67" s="50" t="s">
        <v>85</v>
      </c>
      <c r="K67" s="53"/>
      <c r="L67" s="54"/>
    </row>
    <row r="68" spans="1:12" ht="12.75" x14ac:dyDescent="0.25">
      <c r="A68" s="49" t="s">
        <v>30</v>
      </c>
      <c r="B68" s="50" t="s">
        <v>124</v>
      </c>
      <c r="C68" s="50" t="s">
        <v>125</v>
      </c>
      <c r="D68" s="51"/>
      <c r="E68" s="52"/>
      <c r="F68" s="51"/>
      <c r="G68" s="53"/>
      <c r="H68" s="53"/>
      <c r="I68" s="54"/>
      <c r="J68" s="50" t="s">
        <v>85</v>
      </c>
      <c r="K68" s="53"/>
      <c r="L68" s="54"/>
    </row>
    <row r="69" spans="1:12" ht="12.75" x14ac:dyDescent="0.25">
      <c r="A69" s="49" t="s">
        <v>126</v>
      </c>
      <c r="B69" s="50" t="s">
        <v>127</v>
      </c>
      <c r="C69" s="50" t="s">
        <v>128</v>
      </c>
      <c r="D69" s="51"/>
      <c r="E69" s="52"/>
      <c r="F69" s="51"/>
      <c r="G69" s="53"/>
      <c r="H69" s="53"/>
      <c r="I69" s="54"/>
      <c r="J69" s="50" t="s">
        <v>85</v>
      </c>
      <c r="K69" s="53"/>
      <c r="L69" s="54"/>
    </row>
    <row r="70" spans="1:12" ht="12.75" x14ac:dyDescent="0.25">
      <c r="A70" s="49" t="s">
        <v>129</v>
      </c>
      <c r="B70" s="50" t="s">
        <v>130</v>
      </c>
      <c r="C70" s="50" t="s">
        <v>131</v>
      </c>
      <c r="D70" s="51"/>
      <c r="E70" s="52"/>
      <c r="F70" s="51"/>
      <c r="G70" s="53"/>
      <c r="H70" s="53"/>
      <c r="I70" s="54"/>
      <c r="J70" s="50" t="s">
        <v>85</v>
      </c>
      <c r="K70" s="53"/>
      <c r="L70" s="54"/>
    </row>
    <row r="71" spans="1:12" ht="12.75" x14ac:dyDescent="0.25">
      <c r="A71" s="45" t="s">
        <v>132</v>
      </c>
      <c r="B71" s="50" t="s">
        <v>133</v>
      </c>
      <c r="C71" s="50" t="s">
        <v>134</v>
      </c>
      <c r="D71" s="51"/>
      <c r="E71" s="52"/>
      <c r="F71" s="51"/>
      <c r="G71" s="53"/>
      <c r="H71" s="53"/>
      <c r="I71" s="54"/>
      <c r="J71" s="50" t="s">
        <v>85</v>
      </c>
      <c r="K71" s="53"/>
      <c r="L71" s="54"/>
    </row>
    <row r="72" spans="1:12" ht="12.75" x14ac:dyDescent="0.25">
      <c r="A72" s="49" t="s">
        <v>135</v>
      </c>
      <c r="B72" s="50" t="s">
        <v>136</v>
      </c>
      <c r="C72" s="50" t="s">
        <v>137</v>
      </c>
      <c r="D72" s="51"/>
      <c r="E72" s="52"/>
      <c r="F72" s="51"/>
      <c r="G72" s="53"/>
      <c r="H72" s="53"/>
      <c r="I72" s="54"/>
      <c r="J72" s="50" t="s">
        <v>85</v>
      </c>
      <c r="K72" s="53"/>
      <c r="L72" s="54"/>
    </row>
    <row r="73" spans="1:12" ht="12.75" x14ac:dyDescent="0.25">
      <c r="A73" s="49" t="s">
        <v>138</v>
      </c>
      <c r="B73" s="50" t="s">
        <v>139</v>
      </c>
      <c r="C73" s="50" t="s">
        <v>140</v>
      </c>
      <c r="D73" s="51"/>
      <c r="E73" s="52"/>
      <c r="F73" s="51"/>
      <c r="G73" s="53"/>
      <c r="H73" s="53"/>
      <c r="I73" s="54"/>
      <c r="J73" s="50" t="s">
        <v>85</v>
      </c>
      <c r="K73" s="53"/>
      <c r="L73" s="54"/>
    </row>
    <row r="74" spans="1:12" ht="12.75" x14ac:dyDescent="0.25">
      <c r="A74" s="49" t="s">
        <v>141</v>
      </c>
      <c r="B74" s="50" t="s">
        <v>142</v>
      </c>
      <c r="C74" s="50" t="s">
        <v>143</v>
      </c>
      <c r="D74" s="51"/>
      <c r="E74" s="52"/>
      <c r="F74" s="51"/>
      <c r="G74" s="53"/>
      <c r="H74" s="53"/>
      <c r="I74" s="54"/>
      <c r="J74" s="50" t="s">
        <v>85</v>
      </c>
      <c r="K74" s="53"/>
      <c r="L74" s="54"/>
    </row>
    <row r="75" spans="1:12" ht="12.75" x14ac:dyDescent="0.25">
      <c r="A75" s="49" t="s">
        <v>144</v>
      </c>
      <c r="B75" s="50" t="s">
        <v>145</v>
      </c>
      <c r="C75" s="50" t="s">
        <v>146</v>
      </c>
      <c r="D75" s="51"/>
      <c r="E75" s="52"/>
      <c r="F75" s="51"/>
      <c r="G75" s="53"/>
      <c r="H75" s="53"/>
      <c r="I75" s="54"/>
      <c r="J75" s="50" t="s">
        <v>85</v>
      </c>
      <c r="K75" s="53"/>
      <c r="L75" s="54"/>
    </row>
    <row r="76" spans="1:12" ht="12.75" x14ac:dyDescent="0.25">
      <c r="A76" s="49" t="s">
        <v>147</v>
      </c>
      <c r="B76" s="50" t="s">
        <v>148</v>
      </c>
      <c r="C76" s="50" t="s">
        <v>149</v>
      </c>
      <c r="D76" s="51"/>
      <c r="E76" s="52"/>
      <c r="F76" s="51"/>
      <c r="G76" s="53"/>
      <c r="H76" s="53"/>
      <c r="I76" s="54"/>
      <c r="J76" s="50" t="s">
        <v>85</v>
      </c>
      <c r="K76" s="53"/>
      <c r="L76" s="54"/>
    </row>
    <row r="77" spans="1:12" ht="12.75" x14ac:dyDescent="0.25">
      <c r="A77" s="49" t="s">
        <v>150</v>
      </c>
      <c r="B77" s="50" t="s">
        <v>151</v>
      </c>
      <c r="C77" s="50" t="s">
        <v>150</v>
      </c>
      <c r="D77" s="51"/>
      <c r="E77" s="52"/>
      <c r="F77" s="51"/>
      <c r="G77" s="53"/>
      <c r="H77" s="53"/>
      <c r="I77" s="54"/>
      <c r="J77" s="50" t="s">
        <v>85</v>
      </c>
      <c r="K77" s="53"/>
      <c r="L77" s="54"/>
    </row>
    <row r="78" spans="1:12" ht="12.75" x14ac:dyDescent="0.25">
      <c r="A78" s="49" t="s">
        <v>152</v>
      </c>
      <c r="B78" s="50" t="s">
        <v>153</v>
      </c>
      <c r="C78" s="50" t="s">
        <v>29</v>
      </c>
      <c r="D78" s="51"/>
      <c r="E78" s="52"/>
      <c r="F78" s="51"/>
      <c r="G78" s="53"/>
      <c r="H78" s="53"/>
      <c r="I78" s="54"/>
      <c r="J78" s="50" t="s">
        <v>85</v>
      </c>
      <c r="K78" s="53"/>
      <c r="L78" s="54"/>
    </row>
    <row r="79" spans="1:12" ht="12.75" x14ac:dyDescent="0.25">
      <c r="A79" s="49" t="s">
        <v>154</v>
      </c>
      <c r="B79" s="50" t="s">
        <v>155</v>
      </c>
      <c r="C79" s="50" t="s">
        <v>156</v>
      </c>
      <c r="D79" s="51"/>
      <c r="E79" s="52"/>
      <c r="F79" s="51"/>
      <c r="G79" s="53"/>
      <c r="H79" s="53"/>
      <c r="I79" s="54"/>
      <c r="J79" s="50" t="s">
        <v>85</v>
      </c>
      <c r="K79" s="53"/>
      <c r="L79" s="54"/>
    </row>
    <row r="80" spans="1:12" ht="12.75" x14ac:dyDescent="0.25">
      <c r="J80" s="30"/>
    </row>
    <row r="81" spans="1:1" x14ac:dyDescent="0.25">
      <c r="A81" s="58" t="s">
        <v>38</v>
      </c>
    </row>
    <row r="82" spans="1:1" x14ac:dyDescent="0.25">
      <c r="A82" s="59" t="s">
        <v>157</v>
      </c>
    </row>
    <row r="83" spans="1:1" x14ac:dyDescent="0.25">
      <c r="A83" s="59" t="s">
        <v>158</v>
      </c>
    </row>
    <row r="84" spans="1:1" x14ac:dyDescent="0.25">
      <c r="A84" s="59" t="s">
        <v>159</v>
      </c>
    </row>
    <row r="85" spans="1:1" x14ac:dyDescent="0.25">
      <c r="A85" s="59" t="s">
        <v>160</v>
      </c>
    </row>
    <row r="86" spans="1:1" x14ac:dyDescent="0.25">
      <c r="A86" s="59" t="s">
        <v>161</v>
      </c>
    </row>
    <row r="87" spans="1:1" x14ac:dyDescent="0.25">
      <c r="A87" s="59" t="s">
        <v>162</v>
      </c>
    </row>
    <row r="88" spans="1:1" x14ac:dyDescent="0.25">
      <c r="A88" s="59" t="s">
        <v>163</v>
      </c>
    </row>
    <row r="89" spans="1:1" x14ac:dyDescent="0.25">
      <c r="A89" s="59" t="s">
        <v>164</v>
      </c>
    </row>
    <row r="90" spans="1:1" x14ac:dyDescent="0.25">
      <c r="A90" s="59" t="s">
        <v>165</v>
      </c>
    </row>
    <row r="92" spans="1:1" x14ac:dyDescent="0.25">
      <c r="A92" s="58" t="s">
        <v>39</v>
      </c>
    </row>
    <row r="93" spans="1:1" x14ac:dyDescent="0.25">
      <c r="A93" s="59" t="s">
        <v>166</v>
      </c>
    </row>
    <row r="94" spans="1:1" x14ac:dyDescent="0.25">
      <c r="A94" s="59" t="s">
        <v>167</v>
      </c>
    </row>
    <row r="95" spans="1:1" x14ac:dyDescent="0.25">
      <c r="A95" s="60" t="s">
        <v>168</v>
      </c>
    </row>
    <row r="96" spans="1:1" x14ac:dyDescent="0.25">
      <c r="A96" s="60" t="s">
        <v>169</v>
      </c>
    </row>
    <row r="97" spans="1:5" x14ac:dyDescent="0.25">
      <c r="A97" s="60" t="s">
        <v>170</v>
      </c>
    </row>
    <row r="99" spans="1:5" x14ac:dyDescent="0.25">
      <c r="A99" s="58" t="s">
        <v>40</v>
      </c>
    </row>
    <row r="100" spans="1:5" ht="38.25" customHeight="1" x14ac:dyDescent="0.25">
      <c r="A100" s="110" t="s">
        <v>171</v>
      </c>
      <c r="B100" s="110"/>
      <c r="C100" s="110"/>
      <c r="D100" s="110"/>
      <c r="E100" s="110"/>
    </row>
    <row r="101" spans="1:5" x14ac:dyDescent="0.25">
      <c r="A101"/>
    </row>
    <row r="102" spans="1:5" x14ac:dyDescent="0.25">
      <c r="A102" s="58" t="s">
        <v>41</v>
      </c>
    </row>
    <row r="103" spans="1:5" ht="40.5" customHeight="1" x14ac:dyDescent="0.25">
      <c r="A103" s="111" t="s">
        <v>172</v>
      </c>
      <c r="B103" s="111"/>
      <c r="C103" s="111"/>
      <c r="D103" s="111"/>
      <c r="E103" s="111"/>
    </row>
    <row r="104" spans="1:5" x14ac:dyDescent="0.25">
      <c r="A104" s="58" t="s">
        <v>173</v>
      </c>
    </row>
    <row r="105" spans="1:5" x14ac:dyDescent="0.25">
      <c r="A105" s="59" t="s">
        <v>174</v>
      </c>
    </row>
    <row r="106" spans="1:5" x14ac:dyDescent="0.25">
      <c r="A106" s="61" t="s">
        <v>175</v>
      </c>
    </row>
    <row r="107" spans="1:5" x14ac:dyDescent="0.25">
      <c r="A107" s="62" t="s">
        <v>176</v>
      </c>
    </row>
    <row r="108" spans="1:5" x14ac:dyDescent="0.25">
      <c r="A108" s="62" t="s">
        <v>177</v>
      </c>
    </row>
    <row r="109" spans="1:5" x14ac:dyDescent="0.25">
      <c r="A109" s="62" t="s">
        <v>178</v>
      </c>
    </row>
    <row r="110" spans="1:5" x14ac:dyDescent="0.25">
      <c r="A110" s="62" t="s">
        <v>179</v>
      </c>
    </row>
    <row r="112" spans="1:5" x14ac:dyDescent="0.25">
      <c r="A112" s="63" t="s">
        <v>180</v>
      </c>
    </row>
    <row r="113" spans="1:5" x14ac:dyDescent="0.25">
      <c r="A113" s="62" t="s">
        <v>181</v>
      </c>
    </row>
    <row r="114" spans="1:5" x14ac:dyDescent="0.25">
      <c r="A114" s="62" t="s">
        <v>182</v>
      </c>
    </row>
    <row r="115" spans="1:5" x14ac:dyDescent="0.25">
      <c r="A115" s="62" t="s">
        <v>183</v>
      </c>
    </row>
    <row r="116" spans="1:5" x14ac:dyDescent="0.25">
      <c r="A116" s="62" t="s">
        <v>184</v>
      </c>
    </row>
    <row r="117" spans="1:5" x14ac:dyDescent="0.25">
      <c r="A117"/>
    </row>
    <row r="118" spans="1:5" x14ac:dyDescent="0.25">
      <c r="A118" s="58" t="s">
        <v>43</v>
      </c>
    </row>
    <row r="119" spans="1:5" ht="29.25" customHeight="1" x14ac:dyDescent="0.25">
      <c r="A119" s="112" t="s">
        <v>185</v>
      </c>
      <c r="B119" s="112"/>
      <c r="C119" s="112"/>
      <c r="D119" s="112"/>
      <c r="E119" s="112"/>
    </row>
    <row r="120" spans="1:5" x14ac:dyDescent="0.25">
      <c r="A120"/>
    </row>
    <row r="121" spans="1:5" x14ac:dyDescent="0.25">
      <c r="A121" s="58" t="s">
        <v>44</v>
      </c>
    </row>
    <row r="122" spans="1:5" x14ac:dyDescent="0.25">
      <c r="A122" s="59" t="s">
        <v>186</v>
      </c>
    </row>
    <row r="123" spans="1:5" x14ac:dyDescent="0.25">
      <c r="A123" s="59"/>
    </row>
    <row r="124" spans="1:5" x14ac:dyDescent="0.25">
      <c r="A124" s="58" t="s">
        <v>187</v>
      </c>
    </row>
    <row r="125" spans="1:5" x14ac:dyDescent="0.25">
      <c r="A125" s="59" t="s">
        <v>188</v>
      </c>
    </row>
    <row r="126" spans="1:5" x14ac:dyDescent="0.25">
      <c r="A126" s="60" t="s">
        <v>189</v>
      </c>
    </row>
    <row r="127" spans="1:5" x14ac:dyDescent="0.25">
      <c r="A127" s="60" t="s">
        <v>190</v>
      </c>
    </row>
    <row r="128" spans="1:5" x14ac:dyDescent="0.25">
      <c r="A128" s="59" t="s">
        <v>191</v>
      </c>
    </row>
  </sheetData>
  <mergeCells count="3">
    <mergeCell ref="A100:E100"/>
    <mergeCell ref="A103:E103"/>
    <mergeCell ref="A119:E11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2:G35"/>
  <sheetViews>
    <sheetView tabSelected="1" topLeftCell="F1" workbookViewId="0">
      <selection activeCell="G35" sqref="G35"/>
    </sheetView>
  </sheetViews>
  <sheetFormatPr defaultColWidth="11.42578125" defaultRowHeight="15" x14ac:dyDescent="0.25"/>
  <cols>
    <col min="2" max="2" width="16.140625" bestFit="1" customWidth="1"/>
    <col min="5" max="5" width="26.5703125" bestFit="1" customWidth="1"/>
    <col min="7" max="7" width="255.7109375" bestFit="1" customWidth="1"/>
  </cols>
  <sheetData>
    <row r="2" spans="2:7" x14ac:dyDescent="0.25">
      <c r="B2" s="19" t="s">
        <v>192</v>
      </c>
      <c r="E2" s="22" t="s">
        <v>193</v>
      </c>
      <c r="F2" s="22" t="s">
        <v>194</v>
      </c>
      <c r="G2" s="22" t="s">
        <v>195</v>
      </c>
    </row>
    <row r="3" spans="2:7" x14ac:dyDescent="0.25">
      <c r="B3" s="20"/>
      <c r="E3" s="23" t="s">
        <v>196</v>
      </c>
      <c r="F3" s="24" t="s">
        <v>197</v>
      </c>
      <c r="G3" s="25" t="s">
        <v>198</v>
      </c>
    </row>
    <row r="4" spans="2:7" x14ac:dyDescent="0.25">
      <c r="B4" s="21" t="s">
        <v>199</v>
      </c>
      <c r="E4" s="23" t="s">
        <v>129</v>
      </c>
      <c r="F4" s="24" t="s">
        <v>200</v>
      </c>
      <c r="G4" s="23" t="s">
        <v>201</v>
      </c>
    </row>
    <row r="5" spans="2:7" x14ac:dyDescent="0.25">
      <c r="B5" s="21" t="s">
        <v>202</v>
      </c>
      <c r="E5" s="23" t="s">
        <v>70</v>
      </c>
      <c r="F5" s="24" t="s">
        <v>203</v>
      </c>
      <c r="G5" s="23" t="s">
        <v>204</v>
      </c>
    </row>
    <row r="6" spans="2:7" x14ac:dyDescent="0.25">
      <c r="B6" s="21"/>
      <c r="E6" s="23" t="s">
        <v>82</v>
      </c>
      <c r="F6" s="24" t="s">
        <v>205</v>
      </c>
      <c r="G6" s="23" t="s">
        <v>204</v>
      </c>
    </row>
    <row r="7" spans="2:7" x14ac:dyDescent="0.25">
      <c r="E7" s="23" t="s">
        <v>86</v>
      </c>
      <c r="F7" s="81" t="s">
        <v>206</v>
      </c>
      <c r="G7" s="23" t="s">
        <v>207</v>
      </c>
    </row>
    <row r="8" spans="2:7" x14ac:dyDescent="0.25">
      <c r="E8" s="23" t="s">
        <v>89</v>
      </c>
      <c r="F8" s="24" t="s">
        <v>208</v>
      </c>
      <c r="G8" s="23" t="s">
        <v>209</v>
      </c>
    </row>
    <row r="9" spans="2:7" x14ac:dyDescent="0.25">
      <c r="E9" s="23" t="s">
        <v>95</v>
      </c>
      <c r="F9" s="24" t="s">
        <v>210</v>
      </c>
      <c r="G9" s="23" t="s">
        <v>211</v>
      </c>
    </row>
    <row r="10" spans="2:7" x14ac:dyDescent="0.25">
      <c r="E10" s="23" t="s">
        <v>212</v>
      </c>
      <c r="F10" s="24" t="s">
        <v>213</v>
      </c>
      <c r="G10" s="25" t="s">
        <v>214</v>
      </c>
    </row>
    <row r="11" spans="2:7" x14ac:dyDescent="0.25">
      <c r="E11" s="23" t="s">
        <v>126</v>
      </c>
      <c r="F11" s="24" t="s">
        <v>215</v>
      </c>
      <c r="G11" s="23" t="s">
        <v>216</v>
      </c>
    </row>
    <row r="12" spans="2:7" x14ac:dyDescent="0.25">
      <c r="E12" s="23" t="s">
        <v>217</v>
      </c>
      <c r="F12" s="24" t="s">
        <v>218</v>
      </c>
      <c r="G12" s="23" t="s">
        <v>219</v>
      </c>
    </row>
    <row r="13" spans="2:7" x14ac:dyDescent="0.25">
      <c r="E13" s="23" t="s">
        <v>220</v>
      </c>
      <c r="F13" s="24" t="s">
        <v>221</v>
      </c>
      <c r="G13" s="23" t="s">
        <v>216</v>
      </c>
    </row>
    <row r="14" spans="2:7" x14ac:dyDescent="0.25">
      <c r="E14" s="23" t="s">
        <v>135</v>
      </c>
      <c r="F14" s="24" t="s">
        <v>222</v>
      </c>
      <c r="G14" s="23" t="s">
        <v>223</v>
      </c>
    </row>
    <row r="15" spans="2:7" x14ac:dyDescent="0.25">
      <c r="E15" s="23" t="s">
        <v>224</v>
      </c>
      <c r="F15" s="24" t="s">
        <v>225</v>
      </c>
      <c r="G15" s="23" t="s">
        <v>201</v>
      </c>
    </row>
    <row r="16" spans="2:7" x14ac:dyDescent="0.25">
      <c r="E16" s="23" t="s">
        <v>138</v>
      </c>
      <c r="F16" s="24" t="s">
        <v>226</v>
      </c>
      <c r="G16" s="23" t="s">
        <v>227</v>
      </c>
    </row>
    <row r="17" spans="3:7" x14ac:dyDescent="0.25">
      <c r="E17" s="23" t="s">
        <v>28</v>
      </c>
      <c r="F17" s="24" t="s">
        <v>228</v>
      </c>
      <c r="G17" s="23" t="s">
        <v>229</v>
      </c>
    </row>
    <row r="18" spans="3:7" x14ac:dyDescent="0.25">
      <c r="E18" s="23" t="s">
        <v>99</v>
      </c>
      <c r="F18" s="24" t="s">
        <v>230</v>
      </c>
      <c r="G18" s="23" t="s">
        <v>231</v>
      </c>
    </row>
    <row r="19" spans="3:7" x14ac:dyDescent="0.25">
      <c r="E19" s="23" t="s">
        <v>101</v>
      </c>
      <c r="F19" s="24" t="s">
        <v>232</v>
      </c>
      <c r="G19" s="23" t="s">
        <v>233</v>
      </c>
    </row>
    <row r="20" spans="3:7" x14ac:dyDescent="0.25">
      <c r="E20" s="23" t="s">
        <v>234</v>
      </c>
      <c r="F20" s="24" t="str">
        <f>Param!F18</f>
        <v>.pkb</v>
      </c>
      <c r="G20" s="23" t="s">
        <v>216</v>
      </c>
    </row>
    <row r="21" spans="3:7" x14ac:dyDescent="0.25">
      <c r="E21" s="23" t="s">
        <v>30</v>
      </c>
      <c r="F21" s="24" t="s">
        <v>235</v>
      </c>
      <c r="G21" s="23" t="s">
        <v>236</v>
      </c>
    </row>
    <row r="22" spans="3:7" x14ac:dyDescent="0.25">
      <c r="C22" s="76"/>
      <c r="E22" s="23" t="s">
        <v>237</v>
      </c>
      <c r="F22" s="24" t="s">
        <v>238</v>
      </c>
      <c r="G22" s="23" t="s">
        <v>239</v>
      </c>
    </row>
    <row r="23" spans="3:7" x14ac:dyDescent="0.25">
      <c r="C23" s="76"/>
      <c r="E23" s="23" t="s">
        <v>240</v>
      </c>
      <c r="F23" s="24" t="s">
        <v>241</v>
      </c>
      <c r="G23" s="23" t="s">
        <v>242</v>
      </c>
    </row>
    <row r="24" spans="3:7" x14ac:dyDescent="0.25">
      <c r="C24" s="76"/>
      <c r="E24" s="23" t="s">
        <v>110</v>
      </c>
      <c r="F24" s="24" t="s">
        <v>243</v>
      </c>
      <c r="G24" s="23" t="s">
        <v>244</v>
      </c>
    </row>
    <row r="25" spans="3:7" x14ac:dyDescent="0.25">
      <c r="C25" s="76"/>
      <c r="E25" s="23" t="s">
        <v>245</v>
      </c>
      <c r="F25" s="81" t="s">
        <v>246</v>
      </c>
      <c r="G25" s="23" t="s">
        <v>247</v>
      </c>
    </row>
    <row r="26" spans="3:7" x14ac:dyDescent="0.25">
      <c r="C26" s="76"/>
      <c r="E26" s="23" t="s">
        <v>105</v>
      </c>
      <c r="F26" s="24" t="s">
        <v>248</v>
      </c>
      <c r="G26" s="23" t="s">
        <v>249</v>
      </c>
    </row>
    <row r="27" spans="3:7" x14ac:dyDescent="0.25">
      <c r="C27" s="76"/>
      <c r="E27" s="23" t="s">
        <v>108</v>
      </c>
      <c r="F27" s="24" t="s">
        <v>250</v>
      </c>
      <c r="G27" s="23" t="s">
        <v>251</v>
      </c>
    </row>
    <row r="28" spans="3:7" x14ac:dyDescent="0.25">
      <c r="C28" s="76"/>
      <c r="E28" s="23" t="s">
        <v>141</v>
      </c>
      <c r="F28" s="24" t="s">
        <v>252</v>
      </c>
      <c r="G28" s="23" t="s">
        <v>253</v>
      </c>
    </row>
    <row r="29" spans="3:7" x14ac:dyDescent="0.25">
      <c r="C29" s="76"/>
      <c r="E29" s="23" t="s">
        <v>144</v>
      </c>
      <c r="F29" s="24" t="s">
        <v>254</v>
      </c>
      <c r="G29" s="23" t="s">
        <v>255</v>
      </c>
    </row>
    <row r="30" spans="3:7" x14ac:dyDescent="0.25">
      <c r="C30" s="76"/>
      <c r="E30" s="23" t="s">
        <v>147</v>
      </c>
      <c r="F30" s="24" t="s">
        <v>256</v>
      </c>
      <c r="G30" s="25" t="s">
        <v>257</v>
      </c>
    </row>
    <row r="31" spans="3:7" x14ac:dyDescent="0.25">
      <c r="C31" s="76"/>
      <c r="E31" s="23" t="s">
        <v>258</v>
      </c>
      <c r="F31" s="24" t="s">
        <v>259</v>
      </c>
      <c r="G31" s="25" t="s">
        <v>257</v>
      </c>
    </row>
    <row r="32" spans="3:7" x14ac:dyDescent="0.25">
      <c r="C32" s="76"/>
      <c r="E32" s="23" t="s">
        <v>29</v>
      </c>
      <c r="F32" s="24" t="s">
        <v>260</v>
      </c>
      <c r="G32" s="23" t="s">
        <v>261</v>
      </c>
    </row>
    <row r="33" spans="3:7" x14ac:dyDescent="0.25">
      <c r="C33" s="76"/>
      <c r="E33" s="23" t="s">
        <v>156</v>
      </c>
      <c r="F33" s="24" t="s">
        <v>262</v>
      </c>
      <c r="G33" s="25" t="s">
        <v>263</v>
      </c>
    </row>
    <row r="34" spans="3:7" x14ac:dyDescent="0.25">
      <c r="C34" s="76"/>
      <c r="E34" s="23" t="s">
        <v>264</v>
      </c>
      <c r="F34" s="24" t="s">
        <v>265</v>
      </c>
      <c r="G34" s="23" t="s">
        <v>266</v>
      </c>
    </row>
    <row r="35" spans="3:7" x14ac:dyDescent="0.25">
      <c r="C35" s="76"/>
      <c r="E35" s="114" t="s">
        <v>287</v>
      </c>
      <c r="F35" s="115" t="s">
        <v>288</v>
      </c>
      <c r="G35" t="s">
        <v>289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ypeOfAppliDocIS xmlns="1acaa68a-d152-4ee8-b57c-4cbcd8f9065f">Application</TypeOfAppliDocIS>
    <TaxCatchAll xmlns="21f1b9a1-a14a-4bc7-a26e-d14c8d65680a">
      <Value>66</Value>
    </TaxCatchAll>
    <a141fd5364274c7e84877bfcb7817639 xmlns="1acaa68a-d152-4ee8-b57c-4cbcd8f9065f">
      <Terms xmlns="http://schemas.microsoft.com/office/infopath/2007/PartnerControls"/>
    </a141fd5364274c7e84877bfcb7817639>
    <g833016922694098b5435533abfff47f xmlns="1acaa68a-d152-4ee8-b57c-4cbcd8f9065f">
      <Terms xmlns="http://schemas.microsoft.com/office/infopath/2007/PartnerControls">
        <TermInfo xmlns="http://schemas.microsoft.com/office/infopath/2007/PartnerControls">
          <TermName xmlns="http://schemas.microsoft.com/office/infopath/2007/PartnerControls">OFA_PA - Project Billing and Accounting</TermName>
          <TermId xmlns="http://schemas.microsoft.com/office/infopath/2007/PartnerControls">4819a980-9746-468d-b1b1-b19f5f05be05</TermId>
        </TermInfo>
      </Terms>
    </g833016922694098b5435533abfff47f>
    <Document_x0020_ID xmlns="21f1b9a1-a14a-4bc7-a26e-d14c8d65680a" xsi:nil="true"/>
    <CategoryOfDocDocIS xmlns="1acaa68a-d152-4ee8-b57c-4cbcd8f9065f" xsi:nil="true"/>
    <StatusDocIS xmlns="1acaa68a-d152-4ee8-b57c-4cbcd8f9065f">Applicable</StatusDocIS>
    <Build xmlns="1acaa68a-d152-4ee8-b57c-4cbcd8f9065f" xsi:nil="true"/>
    <VersionOfAppliDocIS xmlns="1acaa68a-d152-4ee8-b57c-4cbcd8f9065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 IS" ma:contentTypeID="0x0101006288E1A1897CAB47A3B9D2626F702C1300196C97D32644AE48A346004FDA2F348C" ma:contentTypeVersion="50" ma:contentTypeDescription="" ma:contentTypeScope="" ma:versionID="b133689794dfd376af36e3a30cdcfded">
  <xsd:schema xmlns:xsd="http://www.w3.org/2001/XMLSchema" xmlns:xs="http://www.w3.org/2001/XMLSchema" xmlns:p="http://schemas.microsoft.com/office/2006/metadata/properties" xmlns:ns2="1acaa68a-d152-4ee8-b57c-4cbcd8f9065f" xmlns:ns3="21f1b9a1-a14a-4bc7-a26e-d14c8d65680a" xmlns:ns4="ad91ce62-c764-47bc-ad6a-b8a009f7bb95" targetNamespace="http://schemas.microsoft.com/office/2006/metadata/properties" ma:root="true" ma:fieldsID="66045d1ab9f9686e26c5755e002ff133" ns2:_="" ns3:_="" ns4:_="">
    <xsd:import namespace="1acaa68a-d152-4ee8-b57c-4cbcd8f9065f"/>
    <xsd:import namespace="21f1b9a1-a14a-4bc7-a26e-d14c8d65680a"/>
    <xsd:import namespace="ad91ce62-c764-47bc-ad6a-b8a009f7bb95"/>
    <xsd:element name="properties">
      <xsd:complexType>
        <xsd:sequence>
          <xsd:element name="documentManagement">
            <xsd:complexType>
              <xsd:all>
                <xsd:element ref="ns2:TypeOfAppliDocIS" minOccurs="0"/>
                <xsd:element ref="ns2:VersionOfAppliDocIS" minOccurs="0"/>
                <xsd:element ref="ns2:Build" minOccurs="0"/>
                <xsd:element ref="ns2:CategoryOfDocDocIS" minOccurs="0"/>
                <xsd:element ref="ns2:StatusDocIS" minOccurs="0"/>
                <xsd:element ref="ns3:Document_x0020_ID" minOccurs="0"/>
                <xsd:element ref="ns2:g833016922694098b5435533abfff47f" minOccurs="0"/>
                <xsd:element ref="ns2:a141fd5364274c7e84877bfcb7817639" minOccurs="0"/>
                <xsd:element ref="ns3:TaxCatchAllLabel" minOccurs="0"/>
                <xsd:element ref="ns2:SharedWithUsers" minOccurs="0"/>
                <xsd:element ref="ns2:SharedWithDetails" minOccurs="0"/>
                <xsd:element ref="ns4:MediaServiceAutoTags" minOccurs="0"/>
                <xsd:element ref="ns4:MediaServiceOCR" minOccurs="0"/>
                <xsd:element ref="ns4:MediaServiceDateTaken" minOccurs="0"/>
                <xsd:element ref="ns4:MediaServiceLocation" minOccurs="0"/>
                <xsd:element ref="ns4:MediaServiceEventHashCode" minOccurs="0"/>
                <xsd:element ref="ns4:MediaServiceGenerationTime"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caa68a-d152-4ee8-b57c-4cbcd8f9065f" elementFormDefault="qualified">
    <xsd:import namespace="http://schemas.microsoft.com/office/2006/documentManagement/types"/>
    <xsd:import namespace="http://schemas.microsoft.com/office/infopath/2007/PartnerControls"/>
    <xsd:element name="TypeOfAppliDocIS" ma:index="2" nillable="true" ma:displayName="Type of Appli" ma:default="Application" ma:format="Dropdown" ma:internalName="TypeOfAppliDocIS">
      <xsd:simpleType>
        <xsd:restriction base="dms:Choice">
          <xsd:enumeration value="Application"/>
          <xsd:enumeration value="BI"/>
          <xsd:enumeration value="Datamart"/>
          <xsd:enumeration value="Interface"/>
          <xsd:enumeration value="Processing"/>
          <xsd:enumeration value="Technical Item"/>
          <xsd:enumeration value="Component"/>
          <xsd:enumeration value="Scheduler"/>
        </xsd:restriction>
      </xsd:simpleType>
    </xsd:element>
    <xsd:element name="VersionOfAppliDocIS" ma:index="3" nillable="true" ma:displayName="Version of Appli" ma:internalName="VersionOfAppliDocIS">
      <xsd:simpleType>
        <xsd:restriction base="dms:Text">
          <xsd:maxLength value="50"/>
        </xsd:restriction>
      </xsd:simpleType>
    </xsd:element>
    <xsd:element name="Build" ma:index="4" nillable="true" ma:displayName="Build" ma:internalName="Build">
      <xsd:simpleType>
        <xsd:restriction base="dms:Text">
          <xsd:maxLength value="255"/>
        </xsd:restriction>
      </xsd:simpleType>
    </xsd:element>
    <xsd:element name="CategoryOfDocDocIS" ma:index="5" nillable="true" ma:displayName="Category of Doc" ma:format="Dropdown" ma:internalName="CategoryOfDocDocIS" ma:readOnly="false">
      <xsd:simpleType>
        <xsd:restriction base="dms:Choice">
          <xsd:enumeration value="Action plan"/>
          <xsd:enumeration value="Architecture"/>
          <xsd:enumeration value="Audit"/>
          <xsd:enumeration value="Administration"/>
          <xsd:enumeration value="Code review"/>
          <xsd:enumeration value="Communication"/>
          <xsd:enumeration value="Data model"/>
          <xsd:enumeration value="Delivery"/>
          <xsd:enumeration value="Development"/>
          <xsd:enumeration value="GDPR"/>
          <xsd:enumeration value="Operation"/>
          <xsd:enumeration value="FAQ"/>
          <xsd:enumeration value="Installation"/>
          <xsd:enumeration value="KPI"/>
          <xsd:enumeration value="Project Plan"/>
          <xsd:enumeration value="Presentation"/>
          <xsd:enumeration value="Process"/>
          <xsd:enumeration value="Retrospective"/>
          <xsd:enumeration value="Setting"/>
          <xsd:enumeration value="Meeting notes"/>
          <xsd:enumeration value="Rights management"/>
          <xsd:enumeration value="Steering"/>
          <xsd:enumeration value="Specifications - Technical"/>
          <xsd:enumeration value="Specifications – Functional"/>
          <xsd:enumeration value="User Guide"/>
          <xsd:enumeration value="Test"/>
          <xsd:enumeration value="Training"/>
          <xsd:enumeration value="Tools"/>
          <xsd:enumeration value="V1"/>
          <xsd:enumeration value="V2"/>
          <xsd:enumeration value="Other"/>
        </xsd:restriction>
      </xsd:simpleType>
    </xsd:element>
    <xsd:element name="StatusDocIS" ma:index="6" nillable="true" ma:displayName="Status" ma:default="Applicable" ma:format="RadioButtons" ma:indexed="true" ma:internalName="StatusDocIS" ma:readOnly="false">
      <xsd:simpleType>
        <xsd:restriction base="dms:Choice">
          <xsd:enumeration value="Applicable"/>
          <xsd:enumeration value="Archive"/>
          <xsd:enumeration value="Draft"/>
          <xsd:enumeration value="Pending validation"/>
        </xsd:restriction>
      </xsd:simpleType>
    </xsd:element>
    <xsd:element name="g833016922694098b5435533abfff47f" ma:index="11" nillable="true" ma:taxonomy="true" ma:internalName="g833016922694098b5435533abfff47f" ma:taxonomyFieldName="AppliDocIS" ma:displayName="Appli" ma:default="" ma:fieldId="{08330169-2269-4098-b543-5533abfff47f}" ma:taxonomyMulti="true" ma:sspId="000e2059-5ee7-47e9-8d7c-e5c5b9f97e02" ma:termSetId="fb919844-19e4-4ca6-94bb-d4cdfcaf1512" ma:anchorId="00000000-0000-0000-0000-000000000000" ma:open="false" ma:isKeyword="false">
      <xsd:complexType>
        <xsd:sequence>
          <xsd:element ref="pc:Terms" minOccurs="0" maxOccurs="1"/>
        </xsd:sequence>
      </xsd:complexType>
    </xsd:element>
    <xsd:element name="a141fd5364274c7e84877bfcb7817639" ma:index="14" nillable="true" ma:taxonomy="true" ma:internalName="a141fd5364274c7e84877bfcb7817639" ma:taxonomyFieldName="KeywordDocIS" ma:displayName="Keyword" ma:readOnly="false" ma:default="" ma:fieldId="{a141fd53-6427-4c7e-8487-7bfcb7817639}" ma:taxonomyMulti="true" ma:sspId="000e2059-5ee7-47e9-8d7c-e5c5b9f97e02" ma:termSetId="641ae619-3a46-4644-a3ad-b48dfae88923" ma:anchorId="00000000-0000-0000-0000-000000000000" ma:open="true" ma:isKeyword="false">
      <xsd:complexType>
        <xsd:sequence>
          <xsd:element ref="pc:Terms" minOccurs="0" maxOccurs="1"/>
        </xsd:sequence>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1f1b9a1-a14a-4bc7-a26e-d14c8d65680a" elementFormDefault="qualified">
    <xsd:import namespace="http://schemas.microsoft.com/office/2006/documentManagement/types"/>
    <xsd:import namespace="http://schemas.microsoft.com/office/infopath/2007/PartnerControls"/>
    <xsd:element name="Document_x0020_ID" ma:index="10" nillable="true" ma:displayName="Document ID" ma:description="Optional free text field which can be used to record your own or local client or project reference identifier." ma:hidden="true" ma:internalName="Document_x0020_ID" ma:readOnly="false">
      <xsd:simpleType>
        <xsd:restriction base="dms:Text">
          <xsd:maxLength value="255"/>
        </xsd:restriction>
      </xsd:simpleType>
    </xsd:element>
    <xsd:element name="TaxCatchAllLabel" ma:index="15" nillable="true" ma:displayName="Taxonomy Catch All Column1" ma:description="" ma:hidden="true" ma:list="{1b1c187f-06bc-4255-81dc-5144a3d7854c}" ma:internalName="TaxCatchAllLabel" ma:readOnly="true" ma:showField="CatchAllDataLabel" ma:web="1acaa68a-d152-4ee8-b57c-4cbcd8f9065f">
      <xsd:complexType>
        <xsd:complexContent>
          <xsd:extension base="dms:MultiChoiceLookup">
            <xsd:sequence>
              <xsd:element name="Value" type="dms:Lookup" maxOccurs="unbounded" minOccurs="0" nillable="true"/>
            </xsd:sequence>
          </xsd:extension>
        </xsd:complexContent>
      </xsd:complexType>
    </xsd:element>
    <xsd:element name="TaxCatchAll" ma:index="27" nillable="true" ma:displayName="Taxonomy Catch All Column" ma:description="" ma:hidden="true" ma:list="{1b1c187f-06bc-4255-81dc-5144a3d7854c}" ma:internalName="TaxCatchAll" ma:showField="CatchAllData" ma:web="1acaa68a-d152-4ee8-b57c-4cbcd8f9065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d91ce62-c764-47bc-ad6a-b8a009f7bb95" elementFormDefault="qualified">
    <xsd:import namespace="http://schemas.microsoft.com/office/2006/documentManagement/types"/>
    <xsd:import namespace="http://schemas.microsoft.com/office/infopath/2007/PartnerControls"/>
    <xsd:element name="MediaServiceAutoTags" ma:index="21" nillable="true" ma:displayName="MediaServiceAutoTags" ma:internalName="MediaServiceAutoTags" ma:readOnly="true">
      <xsd:simpleType>
        <xsd:restriction base="dms:Text"/>
      </xsd:simpleType>
    </xsd:element>
    <xsd:element name="MediaServiceOCR" ma:index="22" nillable="true" ma:displayName="MediaServiceOCR" ma:internalName="MediaServiceOCR" ma:readOnly="true">
      <xsd:simpleType>
        <xsd:restriction base="dms:Note">
          <xsd:maxLength value="255"/>
        </xsd:restriction>
      </xsd:simpleType>
    </xsd:element>
    <xsd:element name="MediaServiceDateTaken" ma:index="23" nillable="true" ma:displayName="MediaServiceDateTaken" ma:hidden="true" ma:internalName="MediaServiceDateTaken" ma:readOnly="true">
      <xsd:simpleType>
        <xsd:restriction base="dms:Text"/>
      </xsd:simpleType>
    </xsd:element>
    <xsd:element name="MediaServiceLocation" ma:index="24" nillable="true" ma:displayName="MediaServiceLocation" ma:internalName="MediaServiceLocation"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element name="MediaServiceGenerationTime" ma:index="26"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3"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haredContentType xmlns="Microsoft.SharePoint.Taxonomy.ContentTypeSync" SourceId="000e2059-5ee7-47e9-8d7c-e5c5b9f97e02" ContentTypeId="0x0101" PreviousValue="false"/>
</file>

<file path=customXml/itemProps1.xml><?xml version="1.0" encoding="utf-8"?>
<ds:datastoreItem xmlns:ds="http://schemas.openxmlformats.org/officeDocument/2006/customXml" ds:itemID="{1D709FAF-3016-49D8-BBFD-3D53CFD83BE0}">
  <ds:schemaRefs>
    <ds:schemaRef ds:uri="http://schemas.microsoft.com/sharepoint/v3/contenttype/forms"/>
  </ds:schemaRefs>
</ds:datastoreItem>
</file>

<file path=customXml/itemProps2.xml><?xml version="1.0" encoding="utf-8"?>
<ds:datastoreItem xmlns:ds="http://schemas.openxmlformats.org/officeDocument/2006/customXml" ds:itemID="{9970267A-5EB7-4ACB-B930-58F5CFD51B59}">
  <ds:schemaRefs>
    <ds:schemaRef ds:uri="http://purl.org/dc/terms/"/>
    <ds:schemaRef ds:uri="ad91ce62-c764-47bc-ad6a-b8a009f7bb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schemas.microsoft.com/office/2006/metadata/properties"/>
    <ds:schemaRef ds:uri="21f1b9a1-a14a-4bc7-a26e-d14c8d65680a"/>
    <ds:schemaRef ds:uri="1acaa68a-d152-4ee8-b57c-4cbcd8f9065f"/>
    <ds:schemaRef ds:uri="http://www.w3.org/XML/1998/namespace"/>
    <ds:schemaRef ds:uri="http://purl.org/dc/dcmitype/"/>
  </ds:schemaRefs>
</ds:datastoreItem>
</file>

<file path=customXml/itemProps3.xml><?xml version="1.0" encoding="utf-8"?>
<ds:datastoreItem xmlns:ds="http://schemas.openxmlformats.org/officeDocument/2006/customXml" ds:itemID="{2286A103-4123-4FB6-B458-C9AF89B79D5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caa68a-d152-4ee8-b57c-4cbcd8f9065f"/>
    <ds:schemaRef ds:uri="21f1b9a1-a14a-4bc7-a26e-d14c8d65680a"/>
    <ds:schemaRef ds:uri="ad91ce62-c764-47bc-ad6a-b8a009f7bb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197DFE3-4908-4F06-B5D3-675DADD39C6A}">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Cemli</vt:lpstr>
      <vt:lpstr>Manual Steps</vt:lpstr>
      <vt:lpstr>FAQ</vt:lpstr>
      <vt:lpstr>Param</vt:lpstr>
      <vt:lpstr>description</vt:lpstr>
      <vt:lpstr>status</vt:lpstr>
    </vt:vector>
  </TitlesOfParts>
  <Manager/>
  <Company>SopraSteria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BEAUGE Maria</dc:creator>
  <cp:keywords/>
  <dc:description/>
  <cp:lastModifiedBy>PATHANIA Rishi</cp:lastModifiedBy>
  <cp:revision/>
  <dcterms:created xsi:type="dcterms:W3CDTF">2018-03-05T11:04:06Z</dcterms:created>
  <dcterms:modified xsi:type="dcterms:W3CDTF">2021-04-06T07:47:29Z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KeywordDocIS">
    <vt:lpwstr/>
  </property>
  <property fmtid="{D5CDD505-2E9C-101B-9397-08002B2CF9AE}" pid="4" name="ContentTypeId">
    <vt:lpwstr>0x0101006288E1A1897CAB47A3B9D2626F702C1300196C97D32644AE48A346004FDA2F348C</vt:lpwstr>
  </property>
  <property fmtid="{D5CDD505-2E9C-101B-9397-08002B2CF9AE}" pid="5" name="AppliDocIS">
    <vt:lpwstr>66;#OFA_OTL - Oracle Time ＆ Labor|d1db9377-811b-4ef1-b7a3-db1f6f336c7e</vt:lpwstr>
  </property>
</Properties>
</file>